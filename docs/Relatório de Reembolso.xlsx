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bpsplicencas.sharepoint.com/sites/AprimoraSUS/Documentos Compartilhados/Weslley/Reembolso/"/>
    </mc:Choice>
  </mc:AlternateContent>
  <xr:revisionPtr revIDLastSave="2" documentId="11_3A692EBA721E8DDCB1EC974082E71A8E6C62F470" xr6:coauthVersionLast="47" xr6:coauthVersionMax="47" xr10:uidLastSave="{FD7154F1-CE2F-4743-A2C8-ADD454B6AADB}"/>
  <bookViews>
    <workbookView xWindow="-108" yWindow="-108" windowWidth="23256" windowHeight="12456" tabRatio="810" activeTab="3" xr2:uid="{00000000-000D-0000-FFFF-FFFF00000000}"/>
  </bookViews>
  <sheets>
    <sheet name="Premissas" sheetId="1" r:id="rId1"/>
    <sheet name="Bases - Cadastro" sheetId="2" r:id="rId2"/>
    <sheet name="MATRIZ - Relat Desp_CLT" sheetId="3" state="hidden" r:id="rId3"/>
    <sheet name="MATRIZ - Relat Despesas" sheetId="4" r:id="rId4"/>
    <sheet name="210814 - Regionalização" sheetId="5" state="hidden" r:id="rId5"/>
    <sheet name="210815 - Regula Mais" sheetId="6" state="hidden" r:id="rId6"/>
    <sheet name="210816 - Saude" sheetId="7" state="hidden" r:id="rId7"/>
    <sheet name="210818 - Rede" sheetId="8" state="hidden" r:id="rId8"/>
  </sheets>
  <definedNames>
    <definedName name="_xlnm._FilterDatabase" localSheetId="1" hidden="1">'Bases - Cadastro'!$A$37:$C$46</definedName>
    <definedName name="_xlnm.Print_Area" localSheetId="4">'210814 - Regionalização'!$B$1:$BA$85</definedName>
    <definedName name="_xlnm.Print_Area" localSheetId="5">'210815 - Regula Mais'!$B$1:$BA$85</definedName>
    <definedName name="_xlnm.Print_Area" localSheetId="6">'210816 - Saude'!$B$1:$BA$85</definedName>
    <definedName name="_xlnm.Print_Area" localSheetId="7">'210818 - Rede'!$B$1:$BA$85</definedName>
    <definedName name="_xlnm.Print_Area" localSheetId="2">'MATRIZ - Relat Desp_CLT'!$B$2:$BA$98</definedName>
    <definedName name="_xlnm.Print_Area" localSheetId="3">'MATRIZ - Relat Despesas'!$B$2:$BA$95</definedName>
    <definedName name="Projeto" localSheetId="4">'210814 - Regionalização'!$AR$5</definedName>
    <definedName name="Projeto" localSheetId="5">'210815 - Regula Mais'!$AR$5</definedName>
    <definedName name="Projeto" localSheetId="6">'210816 - Saude'!$AR$5</definedName>
    <definedName name="Projeto" localSheetId="7">'210818 - Rede'!$AR$5</definedName>
    <definedName name="Projeto" localSheetId="2">'MATRIZ - Relat Desp_CLT'!$AR$6</definedName>
    <definedName name="Projeto" localSheetId="3">'MATRIZ - Relat Despesas'!$AR$6</definedName>
    <definedName name="Projet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4" i="8" l="1"/>
  <c r="V83" i="8"/>
  <c r="P82" i="8"/>
  <c r="V82" i="8" s="1"/>
  <c r="D82" i="8"/>
  <c r="P81" i="8"/>
  <c r="V81" i="8" s="1"/>
  <c r="D81" i="8"/>
  <c r="P80" i="8"/>
  <c r="V80" i="8" s="1"/>
  <c r="D80" i="8"/>
  <c r="P79" i="8"/>
  <c r="V79" i="8" s="1"/>
  <c r="D79" i="8"/>
  <c r="P78" i="8"/>
  <c r="V78" i="8" s="1"/>
  <c r="D78" i="8"/>
  <c r="P77" i="8"/>
  <c r="V77" i="8" s="1"/>
  <c r="D77" i="8"/>
  <c r="P76" i="8"/>
  <c r="V76" i="8" s="1"/>
  <c r="D76" i="8"/>
  <c r="P75" i="8"/>
  <c r="V75" i="8" s="1"/>
  <c r="D75" i="8"/>
  <c r="P74" i="8"/>
  <c r="V74" i="8" s="1"/>
  <c r="D74" i="8"/>
  <c r="AU67" i="8"/>
  <c r="AR66" i="8"/>
  <c r="L66" i="8"/>
  <c r="AR65" i="8"/>
  <c r="L65" i="8"/>
  <c r="AR64" i="8"/>
  <c r="L64" i="8"/>
  <c r="AR63" i="8"/>
  <c r="L63" i="8"/>
  <c r="AR62" i="8"/>
  <c r="L62" i="8"/>
  <c r="AR61" i="8"/>
  <c r="L61" i="8"/>
  <c r="AR60" i="8"/>
  <c r="L60" i="8"/>
  <c r="AR59" i="8"/>
  <c r="L59" i="8"/>
  <c r="AR58" i="8"/>
  <c r="L58" i="8"/>
  <c r="AR57" i="8"/>
  <c r="L57" i="8"/>
  <c r="AR56" i="8"/>
  <c r="L56" i="8"/>
  <c r="AR55" i="8"/>
  <c r="L55" i="8"/>
  <c r="AR54" i="8"/>
  <c r="L54" i="8"/>
  <c r="AR53" i="8"/>
  <c r="L53" i="8"/>
  <c r="AR52" i="8"/>
  <c r="L52" i="8"/>
  <c r="AR51" i="8"/>
  <c r="L51" i="8"/>
  <c r="AR50" i="8"/>
  <c r="L50" i="8"/>
  <c r="AR49" i="8"/>
  <c r="L49" i="8"/>
  <c r="AR48" i="8"/>
  <c r="L48" i="8"/>
  <c r="AR47" i="8"/>
  <c r="L47" i="8"/>
  <c r="AR46" i="8"/>
  <c r="L46" i="8"/>
  <c r="AR45" i="8"/>
  <c r="L45" i="8"/>
  <c r="AR44" i="8"/>
  <c r="L44" i="8"/>
  <c r="AR43" i="8"/>
  <c r="L43" i="8"/>
  <c r="AR42" i="8"/>
  <c r="L42" i="8"/>
  <c r="AR41" i="8"/>
  <c r="L41" i="8"/>
  <c r="AR40" i="8"/>
  <c r="L40" i="8"/>
  <c r="AR39" i="8"/>
  <c r="L39" i="8"/>
  <c r="AR38" i="8"/>
  <c r="L38" i="8"/>
  <c r="AR37" i="8"/>
  <c r="L37" i="8"/>
  <c r="AR36" i="8"/>
  <c r="L36" i="8"/>
  <c r="AR35" i="8"/>
  <c r="L35" i="8"/>
  <c r="AR34" i="8"/>
  <c r="L34" i="8"/>
  <c r="AR33" i="8"/>
  <c r="L33" i="8"/>
  <c r="AR32" i="8"/>
  <c r="L32" i="8"/>
  <c r="AR31" i="8"/>
  <c r="L31" i="8"/>
  <c r="AR30" i="8"/>
  <c r="L30" i="8"/>
  <c r="AR29" i="8"/>
  <c r="V85" i="8" s="1"/>
  <c r="AN23" i="8"/>
  <c r="Q23" i="8"/>
  <c r="P82" i="7"/>
  <c r="V82" i="7" s="1"/>
  <c r="D82" i="7"/>
  <c r="P81" i="7"/>
  <c r="D81" i="7"/>
  <c r="P80" i="7"/>
  <c r="V80" i="7" s="1"/>
  <c r="D80" i="7"/>
  <c r="P79" i="7"/>
  <c r="D79" i="7"/>
  <c r="P78" i="7"/>
  <c r="V78" i="7" s="1"/>
  <c r="D78" i="7"/>
  <c r="P77" i="7"/>
  <c r="V77" i="7" s="1"/>
  <c r="D77" i="7"/>
  <c r="P76" i="7"/>
  <c r="V76" i="7" s="1"/>
  <c r="D76" i="7"/>
  <c r="P75" i="7"/>
  <c r="D75" i="7"/>
  <c r="P74" i="7"/>
  <c r="V74" i="7" s="1"/>
  <c r="D74" i="7"/>
  <c r="AU67" i="7"/>
  <c r="AN23" i="7" s="1"/>
  <c r="AR66" i="7"/>
  <c r="L66" i="7"/>
  <c r="AR65" i="7"/>
  <c r="L65" i="7"/>
  <c r="AR64" i="7"/>
  <c r="L64" i="7"/>
  <c r="AR63" i="7"/>
  <c r="L63" i="7"/>
  <c r="AR62" i="7"/>
  <c r="L62" i="7"/>
  <c r="AR61" i="7"/>
  <c r="L61" i="7"/>
  <c r="AR60" i="7"/>
  <c r="L60" i="7"/>
  <c r="AR59" i="7"/>
  <c r="L59" i="7"/>
  <c r="AR58" i="7"/>
  <c r="L58" i="7"/>
  <c r="AR57" i="7"/>
  <c r="L57" i="7"/>
  <c r="AR56" i="7"/>
  <c r="L56" i="7"/>
  <c r="AR55" i="7"/>
  <c r="L55" i="7"/>
  <c r="AR54" i="7"/>
  <c r="L54" i="7"/>
  <c r="AR53" i="7"/>
  <c r="L53" i="7"/>
  <c r="AR52" i="7"/>
  <c r="L52" i="7"/>
  <c r="AR51" i="7"/>
  <c r="L51" i="7"/>
  <c r="AR50" i="7"/>
  <c r="L50" i="7"/>
  <c r="AR49" i="7"/>
  <c r="L49" i="7"/>
  <c r="AR48" i="7"/>
  <c r="L48" i="7"/>
  <c r="AR47" i="7"/>
  <c r="L47" i="7"/>
  <c r="AR46" i="7"/>
  <c r="L46" i="7"/>
  <c r="AR45" i="7"/>
  <c r="L45" i="7"/>
  <c r="AR44" i="7"/>
  <c r="L44" i="7"/>
  <c r="AR43" i="7"/>
  <c r="L43" i="7"/>
  <c r="AR42" i="7"/>
  <c r="L42" i="7"/>
  <c r="AR41" i="7"/>
  <c r="L41" i="7"/>
  <c r="AR40" i="7"/>
  <c r="L40" i="7"/>
  <c r="AR39" i="7"/>
  <c r="L39" i="7"/>
  <c r="AR38" i="7"/>
  <c r="L38" i="7"/>
  <c r="AR37" i="7"/>
  <c r="L37" i="7"/>
  <c r="AR36" i="7"/>
  <c r="V79" i="7" s="1"/>
  <c r="L36" i="7"/>
  <c r="AR35" i="7"/>
  <c r="L35" i="7"/>
  <c r="AR34" i="7"/>
  <c r="L34" i="7"/>
  <c r="AR33" i="7"/>
  <c r="L33" i="7"/>
  <c r="AR32" i="7"/>
  <c r="L32" i="7"/>
  <c r="AR31" i="7"/>
  <c r="L31" i="7"/>
  <c r="AR30" i="7"/>
  <c r="V75" i="7" s="1"/>
  <c r="L30" i="7"/>
  <c r="AR29" i="7"/>
  <c r="V85" i="7" s="1"/>
  <c r="P82" i="6"/>
  <c r="D82" i="6"/>
  <c r="P81" i="6"/>
  <c r="V81" i="6" s="1"/>
  <c r="D81" i="6"/>
  <c r="P80" i="6"/>
  <c r="V80" i="6" s="1"/>
  <c r="D80" i="6"/>
  <c r="P79" i="6"/>
  <c r="V79" i="6" s="1"/>
  <c r="D79" i="6"/>
  <c r="P78" i="6"/>
  <c r="V78" i="6" s="1"/>
  <c r="D78" i="6"/>
  <c r="P77" i="6"/>
  <c r="D77" i="6"/>
  <c r="P76" i="6"/>
  <c r="V76" i="6" s="1"/>
  <c r="D76" i="6"/>
  <c r="P75" i="6"/>
  <c r="D75" i="6"/>
  <c r="P74" i="6"/>
  <c r="V74" i="6" s="1"/>
  <c r="D74" i="6"/>
  <c r="AU67" i="6"/>
  <c r="AR66" i="6"/>
  <c r="L66" i="6"/>
  <c r="AR65" i="6"/>
  <c r="L65" i="6"/>
  <c r="AR64" i="6"/>
  <c r="L64" i="6"/>
  <c r="AR63" i="6"/>
  <c r="L63" i="6"/>
  <c r="AR62" i="6"/>
  <c r="L62" i="6"/>
  <c r="AR61" i="6"/>
  <c r="L61" i="6"/>
  <c r="AR60" i="6"/>
  <c r="L60" i="6"/>
  <c r="AR59" i="6"/>
  <c r="L59" i="6"/>
  <c r="AR58" i="6"/>
  <c r="L58" i="6"/>
  <c r="AR57" i="6"/>
  <c r="L57" i="6"/>
  <c r="AR56" i="6"/>
  <c r="L56" i="6"/>
  <c r="AR55" i="6"/>
  <c r="L55" i="6"/>
  <c r="AR54" i="6"/>
  <c r="L54" i="6"/>
  <c r="AR53" i="6"/>
  <c r="L53" i="6"/>
  <c r="AR52" i="6"/>
  <c r="L52" i="6"/>
  <c r="AR51" i="6"/>
  <c r="L51" i="6"/>
  <c r="AR50" i="6"/>
  <c r="L50" i="6"/>
  <c r="AR49" i="6"/>
  <c r="L49" i="6"/>
  <c r="AR48" i="6"/>
  <c r="L48" i="6"/>
  <c r="AR47" i="6"/>
  <c r="L47" i="6"/>
  <c r="AR46" i="6"/>
  <c r="L46" i="6"/>
  <c r="AR45" i="6"/>
  <c r="L45" i="6"/>
  <c r="AR44" i="6"/>
  <c r="L44" i="6"/>
  <c r="AR43" i="6"/>
  <c r="L43" i="6"/>
  <c r="AR42" i="6"/>
  <c r="L42" i="6"/>
  <c r="AR41" i="6"/>
  <c r="L41" i="6"/>
  <c r="AR40" i="6"/>
  <c r="L40" i="6"/>
  <c r="AR39" i="6"/>
  <c r="L39" i="6"/>
  <c r="AR38" i="6"/>
  <c r="L38" i="6"/>
  <c r="AR37" i="6"/>
  <c r="L37" i="6"/>
  <c r="AR36" i="6"/>
  <c r="L36" i="6"/>
  <c r="AR35" i="6"/>
  <c r="L35" i="6"/>
  <c r="AR34" i="6"/>
  <c r="L34" i="6"/>
  <c r="AR33" i="6"/>
  <c r="L33" i="6"/>
  <c r="AR32" i="6"/>
  <c r="L32" i="6"/>
  <c r="AR31" i="6"/>
  <c r="V83" i="6" s="1"/>
  <c r="L31" i="6"/>
  <c r="AR30" i="6"/>
  <c r="V82" i="6" s="1"/>
  <c r="L30" i="6"/>
  <c r="AR29" i="6"/>
  <c r="AN23" i="6"/>
  <c r="Q23" i="6"/>
  <c r="P82" i="5"/>
  <c r="V82" i="5" s="1"/>
  <c r="D82" i="5"/>
  <c r="P81" i="5"/>
  <c r="D81" i="5"/>
  <c r="P80" i="5"/>
  <c r="V80" i="5" s="1"/>
  <c r="D80" i="5"/>
  <c r="P79" i="5"/>
  <c r="D79" i="5"/>
  <c r="P78" i="5"/>
  <c r="V78" i="5" s="1"/>
  <c r="D78" i="5"/>
  <c r="P77" i="5"/>
  <c r="V77" i="5" s="1"/>
  <c r="D77" i="5"/>
  <c r="P76" i="5"/>
  <c r="V76" i="5" s="1"/>
  <c r="D76" i="5"/>
  <c r="P75" i="5"/>
  <c r="D75" i="5"/>
  <c r="P74" i="5"/>
  <c r="V74" i="5" s="1"/>
  <c r="D74" i="5"/>
  <c r="AU67" i="5"/>
  <c r="AN23" i="5" s="1"/>
  <c r="AR66" i="5"/>
  <c r="L66" i="5"/>
  <c r="AR65" i="5"/>
  <c r="L65" i="5"/>
  <c r="AR64" i="5"/>
  <c r="L64" i="5"/>
  <c r="AR63" i="5"/>
  <c r="L63" i="5"/>
  <c r="AR62" i="5"/>
  <c r="L62" i="5"/>
  <c r="AR61" i="5"/>
  <c r="L61" i="5"/>
  <c r="AR60" i="5"/>
  <c r="L60" i="5"/>
  <c r="AR59" i="5"/>
  <c r="L59" i="5"/>
  <c r="AR58" i="5"/>
  <c r="L58" i="5"/>
  <c r="AR57" i="5"/>
  <c r="L57" i="5"/>
  <c r="AR56" i="5"/>
  <c r="L56" i="5"/>
  <c r="AR55" i="5"/>
  <c r="L55" i="5"/>
  <c r="AR54" i="5"/>
  <c r="L54" i="5"/>
  <c r="AR53" i="5"/>
  <c r="L53" i="5"/>
  <c r="AR52" i="5"/>
  <c r="L52" i="5"/>
  <c r="AR51" i="5"/>
  <c r="L51" i="5"/>
  <c r="AR50" i="5"/>
  <c r="L50" i="5"/>
  <c r="AR49" i="5"/>
  <c r="L49" i="5"/>
  <c r="AR48" i="5"/>
  <c r="L48" i="5"/>
  <c r="AR47" i="5"/>
  <c r="L47" i="5"/>
  <c r="AR46" i="5"/>
  <c r="V79" i="5" s="1"/>
  <c r="L46" i="5"/>
  <c r="AR45" i="5"/>
  <c r="L45" i="5"/>
  <c r="AR44" i="5"/>
  <c r="L44" i="5"/>
  <c r="AR43" i="5"/>
  <c r="L43" i="5"/>
  <c r="AR42" i="5"/>
  <c r="L42" i="5"/>
  <c r="AR41" i="5"/>
  <c r="L41" i="5"/>
  <c r="AR40" i="5"/>
  <c r="L40" i="5"/>
  <c r="AR39" i="5"/>
  <c r="L39" i="5"/>
  <c r="AR38" i="5"/>
  <c r="L38" i="5"/>
  <c r="AR37" i="5"/>
  <c r="L37" i="5"/>
  <c r="AR36" i="5"/>
  <c r="L36" i="5"/>
  <c r="AR35" i="5"/>
  <c r="L35" i="5"/>
  <c r="AR34" i="5"/>
  <c r="L34" i="5"/>
  <c r="AR33" i="5"/>
  <c r="L33" i="5"/>
  <c r="AR32" i="5"/>
  <c r="L32" i="5"/>
  <c r="AR31" i="5"/>
  <c r="L31" i="5"/>
  <c r="AR30" i="5"/>
  <c r="V83" i="5" s="1"/>
  <c r="L30" i="5"/>
  <c r="AR29" i="5"/>
  <c r="V85" i="5" s="1"/>
  <c r="AN5" i="5"/>
  <c r="L29" i="5" s="1"/>
  <c r="V98" i="3"/>
  <c r="V97" i="3"/>
  <c r="P96" i="3"/>
  <c r="V96" i="3" s="1"/>
  <c r="D96" i="3"/>
  <c r="P95" i="3"/>
  <c r="V95" i="3" s="1"/>
  <c r="D95" i="3"/>
  <c r="P94" i="3"/>
  <c r="V94" i="3" s="1"/>
  <c r="D94" i="3"/>
  <c r="P93" i="3"/>
  <c r="V93" i="3" s="1"/>
  <c r="D93" i="3"/>
  <c r="P92" i="3"/>
  <c r="V92" i="3" s="1"/>
  <c r="D92" i="3"/>
  <c r="P91" i="3"/>
  <c r="D91" i="3"/>
  <c r="P90" i="3"/>
  <c r="V90" i="3" s="1"/>
  <c r="D90" i="3"/>
  <c r="P89" i="3"/>
  <c r="D89" i="3"/>
  <c r="P88" i="3"/>
  <c r="V88" i="3" s="1"/>
  <c r="D88" i="3"/>
  <c r="P87" i="3"/>
  <c r="D87" i="3"/>
  <c r="U84" i="3"/>
  <c r="C84" i="3"/>
  <c r="AU80" i="3"/>
  <c r="AN24" i="3" s="1"/>
  <c r="AR79" i="3"/>
  <c r="L79" i="3"/>
  <c r="AR78" i="3"/>
  <c r="L78" i="3"/>
  <c r="AR77" i="3"/>
  <c r="L77" i="3"/>
  <c r="AR76" i="3"/>
  <c r="L76" i="3"/>
  <c r="AR75" i="3"/>
  <c r="L75" i="3"/>
  <c r="AR74" i="3"/>
  <c r="L74" i="3"/>
  <c r="AR73" i="3"/>
  <c r="L73" i="3"/>
  <c r="AR72" i="3"/>
  <c r="L72" i="3"/>
  <c r="AR71" i="3"/>
  <c r="L71" i="3"/>
  <c r="AR70" i="3"/>
  <c r="L70" i="3"/>
  <c r="AR69" i="3"/>
  <c r="L69" i="3"/>
  <c r="AR68" i="3"/>
  <c r="L68" i="3"/>
  <c r="AR67" i="3"/>
  <c r="L67" i="3"/>
  <c r="AR66" i="3"/>
  <c r="L66" i="3"/>
  <c r="AR65" i="3"/>
  <c r="L65" i="3"/>
  <c r="AR64" i="3"/>
  <c r="L64" i="3"/>
  <c r="AR63" i="3"/>
  <c r="L63" i="3"/>
  <c r="AR62" i="3"/>
  <c r="L62" i="3"/>
  <c r="AR61" i="3"/>
  <c r="L61" i="3"/>
  <c r="AR60" i="3"/>
  <c r="L60" i="3"/>
  <c r="AR59" i="3"/>
  <c r="L59" i="3"/>
  <c r="AR58" i="3"/>
  <c r="L58" i="3"/>
  <c r="AR57" i="3"/>
  <c r="L57" i="3"/>
  <c r="AR56" i="3"/>
  <c r="L56" i="3"/>
  <c r="AR55" i="3"/>
  <c r="L55" i="3"/>
  <c r="AR54" i="3"/>
  <c r="L54" i="3"/>
  <c r="AR53" i="3"/>
  <c r="L53" i="3"/>
  <c r="AR52" i="3"/>
  <c r="L52" i="3"/>
  <c r="AR51" i="3"/>
  <c r="L51" i="3"/>
  <c r="AR50" i="3"/>
  <c r="L50" i="3"/>
  <c r="AR49" i="3"/>
  <c r="L49" i="3"/>
  <c r="AR48" i="3"/>
  <c r="L48" i="3"/>
  <c r="AR47" i="3"/>
  <c r="L47" i="3"/>
  <c r="AR46" i="3"/>
  <c r="L46" i="3"/>
  <c r="AR45" i="3"/>
  <c r="L45" i="3"/>
  <c r="AR44" i="3"/>
  <c r="L44" i="3"/>
  <c r="AR43" i="3"/>
  <c r="L43" i="3"/>
  <c r="AR42" i="3"/>
  <c r="L42" i="3"/>
  <c r="AR41" i="3"/>
  <c r="L41" i="3"/>
  <c r="AR40" i="3"/>
  <c r="L40" i="3"/>
  <c r="AR39" i="3"/>
  <c r="L39" i="3"/>
  <c r="AR38" i="3"/>
  <c r="L38" i="3"/>
  <c r="AR37" i="3"/>
  <c r="L37" i="3"/>
  <c r="AR36" i="3"/>
  <c r="L36" i="3"/>
  <c r="AR35" i="3"/>
  <c r="AR34" i="3"/>
  <c r="AR33" i="3"/>
  <c r="AR32" i="3"/>
  <c r="AR31" i="3"/>
  <c r="V89" i="3" s="1"/>
  <c r="AR30" i="3"/>
  <c r="Q24" i="3"/>
  <c r="F46" i="2"/>
  <c r="E46" i="2"/>
  <c r="V95" i="4" s="1"/>
  <c r="C46" i="2"/>
  <c r="B46" i="2"/>
  <c r="F45" i="2"/>
  <c r="D94" i="4" s="1"/>
  <c r="AR78" i="4" s="1"/>
  <c r="E45" i="2"/>
  <c r="V94" i="4" s="1"/>
  <c r="C45" i="2"/>
  <c r="B45" i="2"/>
  <c r="F44" i="2"/>
  <c r="E44" i="2"/>
  <c r="C44" i="2"/>
  <c r="B44" i="2"/>
  <c r="F43" i="2"/>
  <c r="E43" i="2"/>
  <c r="C43" i="2"/>
  <c r="B43" i="2"/>
  <c r="F42" i="2"/>
  <c r="E42" i="2"/>
  <c r="V91" i="4" s="1"/>
  <c r="C42" i="2"/>
  <c r="B42" i="2"/>
  <c r="F41" i="2"/>
  <c r="E41" i="2"/>
  <c r="C41" i="2"/>
  <c r="B41" i="2"/>
  <c r="F40" i="2"/>
  <c r="E40" i="2"/>
  <c r="C40" i="2"/>
  <c r="B40" i="2"/>
  <c r="F39" i="2"/>
  <c r="E39" i="2"/>
  <c r="C39" i="2"/>
  <c r="B39" i="2"/>
  <c r="F38" i="2"/>
  <c r="E38" i="2"/>
  <c r="V87" i="4" s="1"/>
  <c r="C38" i="2"/>
  <c r="B38" i="2"/>
  <c r="A9" i="2"/>
  <c r="A8" i="2"/>
  <c r="A7" i="2"/>
  <c r="A6" i="2"/>
  <c r="G61" i="4" s="1"/>
  <c r="L61" i="4" s="1"/>
  <c r="A5" i="2"/>
  <c r="A4" i="2"/>
  <c r="G69" i="4" s="1"/>
  <c r="L69" i="4" s="1"/>
  <c r="A2" i="2"/>
  <c r="L35" i="3" s="1"/>
  <c r="D95" i="4"/>
  <c r="V93" i="4"/>
  <c r="D93" i="4"/>
  <c r="V92" i="4"/>
  <c r="D92" i="4"/>
  <c r="D91" i="4"/>
  <c r="V90" i="4"/>
  <c r="D90" i="4"/>
  <c r="V89" i="4"/>
  <c r="D89" i="4"/>
  <c r="V88" i="4"/>
  <c r="D88" i="4"/>
  <c r="D87" i="4"/>
  <c r="AR67" i="4" s="1"/>
  <c r="AU80" i="4"/>
  <c r="Q24" i="4" s="1"/>
  <c r="AA24" i="4" s="1"/>
  <c r="AN24" i="4" s="1"/>
  <c r="G79" i="4"/>
  <c r="L79" i="4" s="1"/>
  <c r="G76" i="4"/>
  <c r="L76" i="4" s="1"/>
  <c r="G72" i="4"/>
  <c r="L72" i="4" s="1"/>
  <c r="G64" i="4"/>
  <c r="L64" i="4" s="1"/>
  <c r="G63" i="4"/>
  <c r="L63" i="4" s="1"/>
  <c r="G62" i="4"/>
  <c r="L62" i="4" s="1"/>
  <c r="G56" i="4"/>
  <c r="L56" i="4" s="1"/>
  <c r="G54" i="4"/>
  <c r="L54" i="4" s="1"/>
  <c r="G52" i="4"/>
  <c r="L52" i="4" s="1"/>
  <c r="G46" i="4"/>
  <c r="L46" i="4" s="1"/>
  <c r="G44" i="4"/>
  <c r="L44" i="4" s="1"/>
  <c r="G42" i="4"/>
  <c r="L42" i="4" s="1"/>
  <c r="G36" i="4"/>
  <c r="L36" i="4" s="1"/>
  <c r="G34" i="4"/>
  <c r="L34" i="4" s="1"/>
  <c r="G32" i="4"/>
  <c r="L32" i="4" s="1"/>
  <c r="V73" i="8" l="1"/>
  <c r="AR75" i="4"/>
  <c r="V84" i="6"/>
  <c r="G33" i="4"/>
  <c r="L33" i="4" s="1"/>
  <c r="G43" i="4"/>
  <c r="L43" i="4" s="1"/>
  <c r="G53" i="4"/>
  <c r="L53" i="4" s="1"/>
  <c r="G70" i="4"/>
  <c r="L70" i="4" s="1"/>
  <c r="AR76" i="4"/>
  <c r="V85" i="6"/>
  <c r="G77" i="4"/>
  <c r="L77" i="4" s="1"/>
  <c r="Q23" i="5"/>
  <c r="Q23" i="7"/>
  <c r="V77" i="6"/>
  <c r="G71" i="4"/>
  <c r="L71" i="4" s="1"/>
  <c r="AR77" i="4"/>
  <c r="L29" i="7"/>
  <c r="AR70" i="4"/>
  <c r="V91" i="3"/>
  <c r="G35" i="4"/>
  <c r="L35" i="4" s="1"/>
  <c r="G45" i="4"/>
  <c r="L45" i="4" s="1"/>
  <c r="G55" i="4"/>
  <c r="L55" i="4" s="1"/>
  <c r="AR64" i="4"/>
  <c r="G78" i="4"/>
  <c r="L78" i="4" s="1"/>
  <c r="L30" i="3"/>
  <c r="V81" i="5"/>
  <c r="V73" i="5" s="1"/>
  <c r="V81" i="7"/>
  <c r="V73" i="7" s="1"/>
  <c r="G65" i="4"/>
  <c r="L65" i="4" s="1"/>
  <c r="AR71" i="4"/>
  <c r="AR69" i="4"/>
  <c r="G57" i="4"/>
  <c r="L57" i="4" s="1"/>
  <c r="L32" i="3"/>
  <c r="V83" i="7"/>
  <c r="AR72" i="4"/>
  <c r="G73" i="4"/>
  <c r="L73" i="4" s="1"/>
  <c r="AR79" i="4"/>
  <c r="V84" i="5"/>
  <c r="V84" i="7"/>
  <c r="L31" i="3"/>
  <c r="V75" i="5"/>
  <c r="G38" i="4"/>
  <c r="L38" i="4" s="1"/>
  <c r="G58" i="4"/>
  <c r="L58" i="4" s="1"/>
  <c r="AR66" i="4"/>
  <c r="L33" i="3"/>
  <c r="V87" i="3"/>
  <c r="V86" i="3" s="1"/>
  <c r="G67" i="4"/>
  <c r="L67" i="4" s="1"/>
  <c r="AR73" i="4"/>
  <c r="G37" i="4"/>
  <c r="L37" i="4" s="1"/>
  <c r="G39" i="4"/>
  <c r="L39" i="4" s="1"/>
  <c r="G49" i="4"/>
  <c r="L49" i="4" s="1"/>
  <c r="G59" i="4"/>
  <c r="L59" i="4" s="1"/>
  <c r="G74" i="4"/>
  <c r="L74" i="4" s="1"/>
  <c r="L34" i="3"/>
  <c r="L29" i="6"/>
  <c r="L29" i="8"/>
  <c r="G47" i="4"/>
  <c r="L47" i="4" s="1"/>
  <c r="G40" i="4"/>
  <c r="L40" i="4" s="1"/>
  <c r="G60" i="4"/>
  <c r="L60" i="4" s="1"/>
  <c r="G68" i="4"/>
  <c r="L68" i="4" s="1"/>
  <c r="AR74" i="4"/>
  <c r="G66" i="4"/>
  <c r="L66" i="4" s="1"/>
  <c r="G48" i="4"/>
  <c r="L48" i="4" s="1"/>
  <c r="G30" i="4"/>
  <c r="L30" i="4" s="1"/>
  <c r="G50" i="4"/>
  <c r="L50" i="4" s="1"/>
  <c r="G75" i="4"/>
  <c r="L75" i="4" s="1"/>
  <c r="V75" i="6"/>
  <c r="V73" i="6" s="1"/>
  <c r="AR65" i="4"/>
  <c r="G31" i="4"/>
  <c r="L31" i="4" s="1"/>
  <c r="G41" i="4"/>
  <c r="L41" i="4" s="1"/>
  <c r="G51" i="4"/>
  <c r="L51" i="4" s="1"/>
  <c r="AR68" i="4"/>
  <c r="AA88" i="4" l="1"/>
  <c r="AA91" i="4"/>
  <c r="AA95" i="4"/>
  <c r="AA94" i="4"/>
  <c r="AA87" i="4"/>
  <c r="AA93" i="4"/>
  <c r="AA92" i="4"/>
  <c r="AA90" i="4"/>
  <c r="AA89" i="4"/>
  <c r="AA86" i="4" l="1"/>
</calcChain>
</file>

<file path=xl/sharedStrings.xml><?xml version="1.0" encoding="utf-8"?>
<sst xmlns="http://schemas.openxmlformats.org/spreadsheetml/2006/main" count="963" uniqueCount="669">
  <si>
    <t>RELATÓRIO DESPESAS - PROADI SUS</t>
  </si>
  <si>
    <t>Solicitante:</t>
  </si>
  <si>
    <t xml:space="preserve">BP </t>
  </si>
  <si>
    <t>Projeto:</t>
  </si>
  <si>
    <t>210863 - Proadi - Projeto Aprimora Sus</t>
  </si>
  <si>
    <t xml:space="preserve">Atividade: </t>
  </si>
  <si>
    <t xml:space="preserve">Período: </t>
  </si>
  <si>
    <t>a</t>
  </si>
  <si>
    <t>EAP - Atividade</t>
  </si>
  <si>
    <t xml:space="preserve">Local | Região: </t>
  </si>
  <si>
    <t xml:space="preserve">São Paulo </t>
  </si>
  <si>
    <t xml:space="preserve"> </t>
  </si>
  <si>
    <t>Caixa | BP</t>
  </si>
  <si>
    <t>Adiantamento de viagem</t>
  </si>
  <si>
    <t>Reembolso Conta Corrente</t>
  </si>
  <si>
    <t>Cartão de Credito Corporativo</t>
  </si>
  <si>
    <t>DADOS BANCÁRIOS:</t>
  </si>
  <si>
    <t>(Caso Banco não esteja cadastrado)</t>
  </si>
  <si>
    <t>Número / Banco</t>
  </si>
  <si>
    <t>33 - Banco Santander (Brasil) S.A.</t>
  </si>
  <si>
    <t>Agência:</t>
  </si>
  <si>
    <t>4326</t>
  </si>
  <si>
    <t>-</t>
  </si>
  <si>
    <t>Conta Corrente:</t>
  </si>
  <si>
    <t xml:space="preserve">GASTOS REALIZADOS </t>
  </si>
  <si>
    <t>Reembolsos</t>
  </si>
  <si>
    <t>Valor Adiantado</t>
  </si>
  <si>
    <t>Valor utilizado</t>
  </si>
  <si>
    <t>Saldo</t>
  </si>
  <si>
    <t>Valor</t>
  </si>
  <si>
    <t xml:space="preserve">  </t>
  </si>
  <si>
    <t>Comprovante de Despesas</t>
  </si>
  <si>
    <t>DATA</t>
  </si>
  <si>
    <t>CENTRO DE CUSTO</t>
  </si>
  <si>
    <t xml:space="preserve">PROJETO
</t>
  </si>
  <si>
    <t>Nº NF</t>
  </si>
  <si>
    <t>Fornecedor</t>
  </si>
  <si>
    <t>Descrição</t>
  </si>
  <si>
    <t xml:space="preserve">CLASSIFICAÇÃO </t>
  </si>
  <si>
    <t>CÓD.</t>
  </si>
  <si>
    <t>VALOR R$</t>
  </si>
  <si>
    <t>DESPESA</t>
  </si>
  <si>
    <t xml:space="preserve">CONTÁBIL </t>
  </si>
  <si>
    <t>TOTAL</t>
  </si>
  <si>
    <t xml:space="preserve">Solicitante </t>
  </si>
  <si>
    <t>Aprovador</t>
  </si>
  <si>
    <t>OBSERVAÇÕES</t>
  </si>
  <si>
    <t>Nome</t>
  </si>
  <si>
    <t xml:space="preserve">Resumo Contábil </t>
  </si>
  <si>
    <t xml:space="preserve">Conta contábil </t>
  </si>
  <si>
    <t>Cód Material TASY</t>
  </si>
  <si>
    <t>PR50050001</t>
  </si>
  <si>
    <t xml:space="preserve">PR50060002 </t>
  </si>
  <si>
    <t xml:space="preserve">PR50060003 </t>
  </si>
  <si>
    <t xml:space="preserve">PR50060004 </t>
  </si>
  <si>
    <t>PR50060005</t>
  </si>
  <si>
    <t>PR50060006</t>
  </si>
  <si>
    <t xml:space="preserve">PR50090003 </t>
  </si>
  <si>
    <t>PR50090005</t>
  </si>
  <si>
    <t xml:space="preserve">PR50090011 </t>
  </si>
  <si>
    <t>PREMISSAS DE REEMBOLSO</t>
  </si>
  <si>
    <t>Dados do Solicitante</t>
  </si>
  <si>
    <t>Nome da PJ ou do funcionário CLT</t>
  </si>
  <si>
    <t xml:space="preserve">Tipo: BP ou CNPJ </t>
  </si>
  <si>
    <t xml:space="preserve">Projeto: selecionar o Centro de Custo do projeto </t>
  </si>
  <si>
    <t>EAP: indicar qual o código e descrição a despesa está relacionada na EAP</t>
  </si>
  <si>
    <t>Atividade: descrever o motivo da viagem - Ex. "Reunião de Alinhamento Secretário de Saúde - SES/PR"</t>
  </si>
  <si>
    <t>Período: indicar o período da viagem ou atividade</t>
  </si>
  <si>
    <t>Indicar se a despesa refere-se a: adiantamento de viagem/ Reembolso/ Cartão Corporativo</t>
  </si>
  <si>
    <t>Dados Bancários</t>
  </si>
  <si>
    <t>Inserir dados bancários da PJ quando se tratar de empresa e da PF quando se tratar de funcionário</t>
  </si>
  <si>
    <t>Documentos - Comprovação</t>
  </si>
  <si>
    <t>Preencher Formulário de Reembolso</t>
  </si>
  <si>
    <t>Apresentar todos as Notas/Documentos fiscais digitalizados</t>
  </si>
  <si>
    <t>Apresentar comprovação de participação na Atividade (Lista de Presença, Ata de Reunião, Foto)</t>
  </si>
  <si>
    <t>Encaminhar por e-mail para a Coordenção do Projeto ou Superior Imediato para Aprovação</t>
  </si>
  <si>
    <t>Preencimento do Formulário - Observação</t>
  </si>
  <si>
    <t>Todo os campos de identificação da Atividade ao qual a despesa esta relacionada deve ser preenchido</t>
  </si>
  <si>
    <t>Descrição do tipo de despesa:</t>
  </si>
  <si>
    <t>Descrever o tipo de despesa tais como:</t>
  </si>
  <si>
    <t xml:space="preserve">                  Taxi: Informar o percurso realizado.</t>
  </si>
  <si>
    <t xml:space="preserve">                  Refeição: Informar se foi almoço ou jantar.</t>
  </si>
  <si>
    <t xml:space="preserve">                  Reembolso de KM: preencher o ANEXO V: indicar o valor total de reembolso de KM no relatório  de despesa em linha única, classificar como despesas "Condução e transportes"</t>
  </si>
  <si>
    <t xml:space="preserve">Classificação da Despesa </t>
  </si>
  <si>
    <t>Indicar nas opções da Lista Suspensa disponível no campo "Classificação da Despesa" qual tipo de despesa se refere o gasto</t>
  </si>
  <si>
    <t xml:space="preserve">Código da Despesa: preenchimento automático a partir da classificação </t>
  </si>
  <si>
    <t>Valor: indicar o valor da nota considerando as premissas do projeto para a despesa (valor dia - R$ 130,00, gorjetas, couvert artístico, bebida alcoolica e etc serão desconsiderados.</t>
  </si>
  <si>
    <t>Assinaturas</t>
  </si>
  <si>
    <t xml:space="preserve">Solicitante: indicar data do preenchimento e nome do funcionário ou da PJ </t>
  </si>
  <si>
    <t>Aprovador: Coordenador do projeto ou Gerente do Escritório PROADI - BP (analisar caso a caso)</t>
  </si>
  <si>
    <t>Reembolso PESSOA JURÍDICA</t>
  </si>
  <si>
    <t>Caberá ao PJ o envio de forma conjunta a este formulário a NOTA DE DÉBITO</t>
  </si>
  <si>
    <t>Contatenado</t>
  </si>
  <si>
    <t xml:space="preserve">CC </t>
  </si>
  <si>
    <t xml:space="preserve">Descrição </t>
  </si>
  <si>
    <t>TIPO</t>
  </si>
  <si>
    <t xml:space="preserve"> Escritório PROADI SUS</t>
  </si>
  <si>
    <t xml:space="preserve"> PROADI SUS</t>
  </si>
  <si>
    <t xml:space="preserve">CNPJ </t>
  </si>
  <si>
    <t xml:space="preserve"> Sustentabilidade BP Mirante</t>
  </si>
  <si>
    <t xml:space="preserve"> Sustentabilidade</t>
  </si>
  <si>
    <t xml:space="preserve"> Filantropia</t>
  </si>
  <si>
    <t xml:space="preserve"> Projetos Sociais BP</t>
  </si>
  <si>
    <t>210833 PROADI Projeto Rede CONASEMS/ COSEMS</t>
  </si>
  <si>
    <t xml:space="preserve"> PROADI Projeto Rede CONASEMS/ COSEMS</t>
  </si>
  <si>
    <t>210834 PROADI Projeto Impacto MR Seguimento</t>
  </si>
  <si>
    <t xml:space="preserve"> PROADI Projeto Impacto MR Seguimento</t>
  </si>
  <si>
    <t>210835 PROADI Projeto Impacto MR Intervenção</t>
  </si>
  <si>
    <t xml:space="preserve"> PROADI Projeto Impacto MR Intervenção</t>
  </si>
  <si>
    <t>210836 PROADI Projeto Planificação 2024/2026</t>
  </si>
  <si>
    <t xml:space="preserve"> PROADI Projeto Planificação 2024/2026</t>
  </si>
  <si>
    <t>210837 PROADI Projeto Tele Nordeste 2024/2026</t>
  </si>
  <si>
    <t xml:space="preserve"> PROADI Projeto Tele Nordeste 2024/2026</t>
  </si>
  <si>
    <t>210838 PROADI Projeto Educa DTN – VE 2024/2026</t>
  </si>
  <si>
    <t xml:space="preserve"> PROADI Projeto Educa DTN – VE 2024/2026</t>
  </si>
  <si>
    <t>210839 PROADI Projeto Saúde Integral da Mulher</t>
  </si>
  <si>
    <t xml:space="preserve"> PROADI Projeto Saúde Integral da Mulher</t>
  </si>
  <si>
    <t>210840 PROADI Projeto QualiGuia APS</t>
  </si>
  <si>
    <t xml:space="preserve"> PROADI Projeto QualiGuia APS</t>
  </si>
  <si>
    <t>210841 PROADI Projeto Proven Dia 2024/2026</t>
  </si>
  <si>
    <t xml:space="preserve"> PROADI Projeto Proven Dia 2024/2026</t>
  </si>
  <si>
    <t>210842 PROADI Projeto Lean nas Emergências Continuidade</t>
  </si>
  <si>
    <t xml:space="preserve"> PROADI Projeto Lean nas Emergências Continuidade</t>
  </si>
  <si>
    <t>210843 PROADI Projeto Saúde em Nossas Mãos Continuidade</t>
  </si>
  <si>
    <t xml:space="preserve"> PROADI Projeto Saúde em Nossas Mãos Continuidade</t>
  </si>
  <si>
    <t>210844 PROADI Projeto Capacitação BLS Continuidade</t>
  </si>
  <si>
    <t xml:space="preserve"> PROADI Projeto Capacitação BLS Continuidade</t>
  </si>
  <si>
    <t>210845 PROADI Projeto Tele-UTI Continuidade</t>
  </si>
  <si>
    <t xml:space="preserve"> PROADI Projeto Tele UTI Continuidade </t>
  </si>
  <si>
    <t>210846 PROADI Projeto TMO Continuidade</t>
  </si>
  <si>
    <t xml:space="preserve"> PROADI Projeto TMO Continuidade</t>
  </si>
  <si>
    <t>210847 PROADI Projeto Boas Praticas em Cardiologia Continuidade</t>
  </si>
  <si>
    <t xml:space="preserve"> PROADI Projeto Boas Praticas em Cardiologia Continuidade</t>
  </si>
  <si>
    <t>210848 PROADI Projeto Genoma Gestão</t>
  </si>
  <si>
    <t xml:space="preserve"> PROADI Projeto Genoma Gestão</t>
  </si>
  <si>
    <t>210849 PROADI Projeto Genoma Oncologia</t>
  </si>
  <si>
    <t xml:space="preserve"> PROADI Projeto Genoma Oncologia</t>
  </si>
  <si>
    <t>210850 PROADI Projeto Genoma Cardio Genética</t>
  </si>
  <si>
    <t xml:space="preserve"> PROADI Projeto Genoma Cardio Genética</t>
  </si>
  <si>
    <t>210851 PROADI Projeto Genoma Cardio Populacional</t>
  </si>
  <si>
    <t xml:space="preserve"> PROADI Projeto Genoma Cardio Populacional</t>
  </si>
  <si>
    <t>210852 PROADI Projeto Genoma Qualificação</t>
  </si>
  <si>
    <t xml:space="preserve"> PROADI Projeto Genoma Qualificação</t>
  </si>
  <si>
    <t>210853 PROADI Projeto Lean nas Emergências 2024/2026</t>
  </si>
  <si>
    <t>PROADI Projeto Lean nas Emergências 2024/2026</t>
  </si>
  <si>
    <t>210854 PROADI Projeto Saude em Nossas Mãos 2024/2026</t>
  </si>
  <si>
    <t>PROADI Projeto Saude em Nossas Mãos 2024/2026</t>
  </si>
  <si>
    <t>210855 PROADI Projeto TMO Assistência 2024/2026</t>
  </si>
  <si>
    <t>PROADI Projeto TMO Assistência 2024/2026</t>
  </si>
  <si>
    <t>210856 PROADI Projeto TMO Apoio 2024/2026</t>
  </si>
  <si>
    <t>PROADI Projeto TMO Apoio 2024/2026</t>
  </si>
  <si>
    <t>PROADI Projeto Aprimora Sus 2024/2026</t>
  </si>
  <si>
    <t>210857 PROADI Projeto Boas Praticas 2024/2026</t>
  </si>
  <si>
    <t>PROADI Projeto Boas Praticas 2024/2026</t>
  </si>
  <si>
    <t xml:space="preserve">Concatenado - CONTA CONTÁBIL </t>
  </si>
  <si>
    <t xml:space="preserve">COD CONTA CONTABIL </t>
  </si>
  <si>
    <t xml:space="preserve">DESCRIÇÃO </t>
  </si>
  <si>
    <t>Codigo Material - Concatenado (TASY)</t>
  </si>
  <si>
    <t xml:space="preserve">COD MATERIAL </t>
  </si>
  <si>
    <t>DESCRIÇÃO MATERIAL (tasy)</t>
  </si>
  <si>
    <t>Observação</t>
  </si>
  <si>
    <t>PR50050001 -  Material uso e consumo PROADI SUS</t>
  </si>
  <si>
    <t>263020 Reembolso de Material de Uso e Consumo PROADI SUS</t>
  </si>
  <si>
    <t xml:space="preserve">Compras de emergência durante viagem - limitado à R$ 100,00 + aprovação coordenador </t>
  </si>
  <si>
    <t>PR50060002 -  Refeições e Lanches PROADI SUS</t>
  </si>
  <si>
    <t>263018 Reembolso de Refeições e Lanches PROADI SUS</t>
  </si>
  <si>
    <t xml:space="preserve">Almoço, jantar, água </t>
  </si>
  <si>
    <t>PR50060003 -  Condução e Transporte PROADI SUS</t>
  </si>
  <si>
    <t>263962 Reembolso de Condução e Transporte PROADI SUS</t>
  </si>
  <si>
    <t>Taxi, Uber, 99, estacionamento, pedágio, combustível veículo alugado, rodoviário (ônibus de viagem)</t>
  </si>
  <si>
    <t>PR50060004 -  Passagens Aereas PROADI SUS</t>
  </si>
  <si>
    <t>263021 Reembolso de Passagem Aérea PROADI SUS</t>
  </si>
  <si>
    <t xml:space="preserve">Exceção por omissão ou indisponibilidade pela  agência de viagens contratada </t>
  </si>
  <si>
    <t>PR50060005 -  Hospedagem PROADI SUS</t>
  </si>
  <si>
    <t>263022 Reembolso de Hospedagem PROADI SUS</t>
  </si>
  <si>
    <t xml:space="preserve">Diárias de hotéis exceção por omissão ou indisponibilidade da agência de viagens </t>
  </si>
  <si>
    <t>PR50060006 -  Taxas de Viagens, Eventos e Congressos PROADI SUS</t>
  </si>
  <si>
    <t>263023 Reembolso de Inscrições de Eventos PROADI SUS</t>
  </si>
  <si>
    <t xml:space="preserve">Congressos </t>
  </si>
  <si>
    <t>PR50090003 -  Custas de cartório PROADI SUS</t>
  </si>
  <si>
    <t>263017 Reembolso de Cartório PROADI SUS</t>
  </si>
  <si>
    <t xml:space="preserve">Autenticações, reconhecimento de firma </t>
  </si>
  <si>
    <t>PR50090005 -  Correios e Malotes PROADI SUS</t>
  </si>
  <si>
    <t>263016 Reembolso de Correios PROADI SUS</t>
  </si>
  <si>
    <t xml:space="preserve">Postagens em geral em agência de Correios </t>
  </si>
  <si>
    <t>PR50090011 -  Revelações, Cópias, Impressões e Gráfica PROADI SUS</t>
  </si>
  <si>
    <t>263019 Reembolso de Revelações, Cópias e Gráfica PROADI SUS</t>
  </si>
  <si>
    <t>cópias, xerox, reproduções, encadernações, banners - deve ser utilizado como exceção durante viagem</t>
  </si>
  <si>
    <t>Código</t>
  </si>
  <si>
    <t>Banco</t>
  </si>
  <si>
    <t>1 - Banco do Brasil S.A.</t>
  </si>
  <si>
    <t>Banco do Brasil S.A.</t>
  </si>
  <si>
    <t>Banco Santander (Brasil) S.A.</t>
  </si>
  <si>
    <t>237 - Banco Bradesco S.A.</t>
  </si>
  <si>
    <t>260 - Nu Pagamentos S.A (Nubank)</t>
  </si>
  <si>
    <t>Nu Pagamentos S.A (Nubank)</t>
  </si>
  <si>
    <t>341 - Itaú Unibanco S.A.</t>
  </si>
  <si>
    <t>Itaú Unibanco S.A.</t>
  </si>
  <si>
    <t>745 - Banco Citibank S.A.</t>
  </si>
  <si>
    <t>Banco Citibank S.A.</t>
  </si>
  <si>
    <t>3 - Banco da Amazônia S.A.</t>
  </si>
  <si>
    <t>Banco da Amazônia S.A.</t>
  </si>
  <si>
    <t>4 - Banco do Nordeste do Brasil S.A.</t>
  </si>
  <si>
    <t>Banco do Nordeste do Brasil S.A.</t>
  </si>
  <si>
    <t>7 - Banco Nacional de Desenvolvimento Econômico e Social – BNDES</t>
  </si>
  <si>
    <t>Banco Nacional de Desenvolvimento Econômico e Social – BNDES</t>
  </si>
  <si>
    <t>10 - Credicoamo</t>
  </si>
  <si>
    <t>Credicoamo</t>
  </si>
  <si>
    <t>11 - C.Suisse Hedging-Griffo Cv S.A (Credit Suisse)</t>
  </si>
  <si>
    <t>C.Suisse Hedging-Griffo Cv S.A (Credit Suisse)</t>
  </si>
  <si>
    <t>12 - Banco Inbursa S.A.</t>
  </si>
  <si>
    <t>Banco Inbursa S.A.</t>
  </si>
  <si>
    <t>14 - Natixis Brasil S.A. Banco Múltiplo</t>
  </si>
  <si>
    <t>Natixis Brasil S.A. Banco Múltiplo</t>
  </si>
  <si>
    <t>16 - Ccm Desp Trâns Sc E Rs</t>
  </si>
  <si>
    <t>Ccm Desp Trâns Sc E Rs</t>
  </si>
  <si>
    <t>17 - BNY Mellon Banco S.A.</t>
  </si>
  <si>
    <t>BNY Mellon Banco S.A.</t>
  </si>
  <si>
    <t>18 - Banco Tricury S.A.</t>
  </si>
  <si>
    <t>Banco Tricury S.A.</t>
  </si>
  <si>
    <t>21 - BANESTES S.A. Banco do Estado do Espírito Santo</t>
  </si>
  <si>
    <t>BANESTES S.A. Banco do Estado do Espírito Santo</t>
  </si>
  <si>
    <t>24 - Banco BANDEPE S.A.</t>
  </si>
  <si>
    <t>Banco BANDEPE S.A.</t>
  </si>
  <si>
    <t>25 - Banco Alfa S.A.</t>
  </si>
  <si>
    <t>Banco Alfa S.A.</t>
  </si>
  <si>
    <t>29 - Banco Itaú Consignado S.A.</t>
  </si>
  <si>
    <t>Banco Itaú Consignado S.A.</t>
  </si>
  <si>
    <t>36 - Banco Bradesco BBI S.A.</t>
  </si>
  <si>
    <t>Banco Bradesco BBI S.A.</t>
  </si>
  <si>
    <t>37 - Banco do Estado do Pará S.A.</t>
  </si>
  <si>
    <t>Banco do Estado do Pará S.A.</t>
  </si>
  <si>
    <t>40 - Banco Cargill S.A.</t>
  </si>
  <si>
    <t>Banco Cargill S.A.</t>
  </si>
  <si>
    <t>41 - Banco do Estado do Rio Grande do Sul S.A.</t>
  </si>
  <si>
    <t>Banco do Estado do Rio Grande do Sul S.A.</t>
  </si>
  <si>
    <t>47 - Banco do Estado de Sergipe S.A.</t>
  </si>
  <si>
    <t>Banco do Estado de Sergipe S.A.</t>
  </si>
  <si>
    <t>51 - Banco de Desenvolvimento do Espírito Santo S.A.</t>
  </si>
  <si>
    <t>Banco de Desenvolvimento do Espírito Santo S.A.</t>
  </si>
  <si>
    <t>60 - Confidence Cc S.A</t>
  </si>
  <si>
    <t>Confidence Cc S.A</t>
  </si>
  <si>
    <t>62 - Hipercard Banco Múltiplo S.A.</t>
  </si>
  <si>
    <t>Hipercard Banco Múltiplo S.A.</t>
  </si>
  <si>
    <t>63 - Banco Bradescard S.A.</t>
  </si>
  <si>
    <t>Banco Bradescard S.A.</t>
  </si>
  <si>
    <t>64 - Goldman Sachs do Brasil Banco Múltiplo S.A.</t>
  </si>
  <si>
    <t>Goldman Sachs do Brasil Banco Múltiplo S.A.</t>
  </si>
  <si>
    <t>65 - Banco Andbank (Brasil) S.A.</t>
  </si>
  <si>
    <t>Banco Andbank (Brasil) S.A.</t>
  </si>
  <si>
    <t>66 - Banco Morgan Stanley S.A.</t>
  </si>
  <si>
    <t>Banco Morgan Stanley S.A.</t>
  </si>
  <si>
    <t>69 - Banco Crefisa S.A.</t>
  </si>
  <si>
    <t>Banco Crefisa S.A.</t>
  </si>
  <si>
    <t>70 - BRB – Banco de Brasília S.A.</t>
  </si>
  <si>
    <t>BRB – Banco de Brasília S.A.</t>
  </si>
  <si>
    <t>74 - Banco J. Safra S.A.</t>
  </si>
  <si>
    <t>Banco J. Safra S.A.</t>
  </si>
  <si>
    <t>75 - Banco ABN AMRO S.A</t>
  </si>
  <si>
    <t>Banco ABN AMRO S.A</t>
  </si>
  <si>
    <t>76 - Banco KDB S.A.</t>
  </si>
  <si>
    <t>Banco KDB S.A.</t>
  </si>
  <si>
    <t>77 - Banco Inter S.A.</t>
  </si>
  <si>
    <t>Banco Inter S.A.</t>
  </si>
  <si>
    <t>78 - Haitong Banco de Investimento do Brasil S.A.</t>
  </si>
  <si>
    <t>Haitong Banco de Investimento do Brasil S.A.</t>
  </si>
  <si>
    <t>79 - Banco Original do Agronegócio S.A.</t>
  </si>
  <si>
    <t>Banco Original do Agronegócio S.A.</t>
  </si>
  <si>
    <t>80 - B&amp;T Cc Ltda</t>
  </si>
  <si>
    <t>B&amp;T Cc Ltda</t>
  </si>
  <si>
    <t>81 - BancoSeguro S.A.</t>
  </si>
  <si>
    <t>BancoSeguro S.A.</t>
  </si>
  <si>
    <t>82 - Banco Topázio S.A.</t>
  </si>
  <si>
    <t>Banco Topázio S.A.</t>
  </si>
  <si>
    <t>83 - Banco da China Brasil S.A.</t>
  </si>
  <si>
    <t>Banco da China Brasil S.A.</t>
  </si>
  <si>
    <t>84 - Uniprime Norte do Paraná – Coop de Economia eCrédito Mútuo dos Médicos, Profissionais das Ciências</t>
  </si>
  <si>
    <t>Uniprime Norte do Paraná – Coop de Economia eCrédito Mútuo dos Médicos, Profissionais das Ciências</t>
  </si>
  <si>
    <t>85 - Coop Central Ailos</t>
  </si>
  <si>
    <t>Coop Central Ailos</t>
  </si>
  <si>
    <t>89 - Ccr Reg Mogiana</t>
  </si>
  <si>
    <t>Ccr Reg Mogiana</t>
  </si>
  <si>
    <t>91 - Unicred Central Rs</t>
  </si>
  <si>
    <t>Unicred Central Rs</t>
  </si>
  <si>
    <t>92 - Brickell S.A. Crédito, Financiamento e Investimento</t>
  </si>
  <si>
    <t>Brickell S.A. Crédito, Financiamento e Investimento</t>
  </si>
  <si>
    <t>93 - Pólocred Scmepp Ltda</t>
  </si>
  <si>
    <t>Pólocred Scmepp Ltda</t>
  </si>
  <si>
    <t>94 - Banco Finaxis S.A.</t>
  </si>
  <si>
    <t>Banco Finaxis S.A.</t>
  </si>
  <si>
    <t>95 - Travelex Banco de Câmbio S.A.</t>
  </si>
  <si>
    <t>Travelex Banco de Câmbio S.A.</t>
  </si>
  <si>
    <t>96 - Banco B3 S.A.</t>
  </si>
  <si>
    <t>Banco B3 S.A.</t>
  </si>
  <si>
    <t>97 - Cooperativa Central de Crédito Noroeste Brasileiro Ltda.</t>
  </si>
  <si>
    <t>Cooperativa Central de Crédito Noroeste Brasileiro Ltda.</t>
  </si>
  <si>
    <t>98 - Credialiança Ccr</t>
  </si>
  <si>
    <t>Credialiança Ccr</t>
  </si>
  <si>
    <t>99 - UNIPRIME Central – Central Interestadual de Cooperativas de Crédito Ltda.</t>
  </si>
  <si>
    <t>UNIPRIME Central – Central Interestadual de Cooperativas de Crédito Ltda.</t>
  </si>
  <si>
    <t>100 - Planner Corretora De Valores S.A</t>
  </si>
  <si>
    <t>Planner Corretora De Valores S.A</t>
  </si>
  <si>
    <t>101 - Renascenca Dtvm Ltda</t>
  </si>
  <si>
    <t>Renascenca Dtvm Ltda</t>
  </si>
  <si>
    <t>102 - Xp Investimentos S.A</t>
  </si>
  <si>
    <t>Xp Investimentos S.A</t>
  </si>
  <si>
    <t>104 - Caixa Econômica Federal</t>
  </si>
  <si>
    <t>Caixa Econômica Federal</t>
  </si>
  <si>
    <t>105 - Lecca Crédito, Financiamento e Investimento S/A</t>
  </si>
  <si>
    <t>Lecca Crédito, Financiamento e Investimento S/A</t>
  </si>
  <si>
    <t>107 - Banco BOCOM BBM S.A.</t>
  </si>
  <si>
    <t>Banco BOCOM BBM S.A.</t>
  </si>
  <si>
    <t>108 - Portocred S.A</t>
  </si>
  <si>
    <t>Portocred S.A</t>
  </si>
  <si>
    <t>111 - Banco Oliveira Trust Dtvm S.A</t>
  </si>
  <si>
    <t>Banco Oliveira Trust Dtvm S.A</t>
  </si>
  <si>
    <t>113 - Magliano S.A</t>
  </si>
  <si>
    <t>Magliano S.A</t>
  </si>
  <si>
    <t>114 - Central Cooperativa De Crédito No Estado Do Espírito Santo</t>
  </si>
  <si>
    <t>Central Cooperativa De Crédito No Estado Do Espírito Santo</t>
  </si>
  <si>
    <t>117 - Advanced Cc Ltda</t>
  </si>
  <si>
    <t>Advanced Cc Ltda</t>
  </si>
  <si>
    <t>118 - Standard Chartered Bank (Brasil) S/A–Bco Invest.</t>
  </si>
  <si>
    <t>Standard Chartered Bank (Brasil) S/A–Bco Invest.</t>
  </si>
  <si>
    <t>119 - Banco Western Union do Brasil S.A.</t>
  </si>
  <si>
    <t>Banco Western Union do Brasil S.A.</t>
  </si>
  <si>
    <t>120 - Banco Rodobens S.A.</t>
  </si>
  <si>
    <t>Banco Rodobens S.A.</t>
  </si>
  <si>
    <t>121 - Banco Agibank S.A.</t>
  </si>
  <si>
    <t>Banco Agibank S.A.</t>
  </si>
  <si>
    <t>122 - Banco Bradesco BERJ S.A.</t>
  </si>
  <si>
    <t>Banco Bradesco BERJ S.A.</t>
  </si>
  <si>
    <t>124 - Banco Woori Bank do Brasil S.A.</t>
  </si>
  <si>
    <t>Banco Woori Bank do Brasil S.A.</t>
  </si>
  <si>
    <t>125 - Plural S.A. – Banco Múltiplo</t>
  </si>
  <si>
    <t>Plural S.A. – Banco Múltiplo</t>
  </si>
  <si>
    <t>126 - BR Partners Banco de Investimento S.A.</t>
  </si>
  <si>
    <t>BR Partners Banco de Investimento S.A.</t>
  </si>
  <si>
    <t>127 - Codepe Cvc S.A</t>
  </si>
  <si>
    <t>Codepe Cvc S.A</t>
  </si>
  <si>
    <t>128 - MS Bank S.A. Banco de Câmbio</t>
  </si>
  <si>
    <t>MS Bank S.A. Banco de Câmbio</t>
  </si>
  <si>
    <t>129 - UBS Brasil Banco de Investimento S.A.</t>
  </si>
  <si>
    <t>UBS Brasil Banco de Investimento S.A.</t>
  </si>
  <si>
    <t>130 - Caruana Scfi</t>
  </si>
  <si>
    <t>Caruana Scfi</t>
  </si>
  <si>
    <t>131 - Tullett Prebon Brasil Cvc Ltda</t>
  </si>
  <si>
    <t>Tullett Prebon Brasil Cvc Ltda</t>
  </si>
  <si>
    <t>132 - ICBC do Brasil Banco Múltiplo S.A.</t>
  </si>
  <si>
    <t>ICBC do Brasil Banco Múltiplo S.A.</t>
  </si>
  <si>
    <t>133 - Cresol Confederação</t>
  </si>
  <si>
    <t>Cresol Confederação</t>
  </si>
  <si>
    <t>134 - Bgc Liquidez Dtvm Ltda</t>
  </si>
  <si>
    <t>Bgc Liquidez Dtvm Ltda</t>
  </si>
  <si>
    <t>136 - Unicred Cooperativa</t>
  </si>
  <si>
    <t>Unicred Cooperativa</t>
  </si>
  <si>
    <t>137 - Multimoney Cc Ltda</t>
  </si>
  <si>
    <t>Multimoney Cc Ltda</t>
  </si>
  <si>
    <t>138 - Get Money Cc Ltda</t>
  </si>
  <si>
    <t>Get Money Cc Ltda</t>
  </si>
  <si>
    <t>139 - Intesa Sanpaolo Brasil S.A. – Banco Múltiplo</t>
  </si>
  <si>
    <t>Intesa Sanpaolo Brasil S.A. – Banco Múltiplo</t>
  </si>
  <si>
    <t>140 - Easynvest – Título Cv S.A</t>
  </si>
  <si>
    <t>Easynvest – Título Cv S.A</t>
  </si>
  <si>
    <t>142 - Broker Brasil Cc Ltda</t>
  </si>
  <si>
    <t>Broker Brasil Cc Ltda</t>
  </si>
  <si>
    <t>143 - Treviso Corretora de Câmbio S.A.</t>
  </si>
  <si>
    <t>Treviso Corretora de Câmbio S.A.</t>
  </si>
  <si>
    <t>144 - BEXS Banco de Câmbio S.A.</t>
  </si>
  <si>
    <t>BEXS Banco de Câmbio S.A.</t>
  </si>
  <si>
    <t>145 - Levycam Ccv Ltda</t>
  </si>
  <si>
    <t>Levycam Ccv Ltda</t>
  </si>
  <si>
    <t>146 - Guitta Corretora de Câmbio Ltda</t>
  </si>
  <si>
    <t>Guitta Corretora de Câmbio Ltda</t>
  </si>
  <si>
    <t>149 - Facta S.A. Cfi</t>
  </si>
  <si>
    <t>Facta S.A. Cfi</t>
  </si>
  <si>
    <t>157 - Icap Do Brasil Ctvm Ltda</t>
  </si>
  <si>
    <t>Icap Do Brasil Ctvm Ltda</t>
  </si>
  <si>
    <t>159 - Casa Credito S.A</t>
  </si>
  <si>
    <t>Casa Credito S.A</t>
  </si>
  <si>
    <t>163 - Commerzbank Brasil S.A. – Banco Múltiplo</t>
  </si>
  <si>
    <t>Commerzbank Brasil S.A. – Banco Múltiplo</t>
  </si>
  <si>
    <t>169 - Banco Olé Bonsucesso Consignado S.A.</t>
  </si>
  <si>
    <t>Banco Olé Bonsucesso Consignado S.A.</t>
  </si>
  <si>
    <t>172 - Albatross Ccv S.A</t>
  </si>
  <si>
    <t>Albatross Ccv S.A</t>
  </si>
  <si>
    <t>173 - BRL Trust Distribuidora de Títulos e Valores Mobiliários S.A.</t>
  </si>
  <si>
    <t>BRL Trust Distribuidora de Títulos e Valores Mobiliários S.A.</t>
  </si>
  <si>
    <t>174 - Pernambucanas Financ S.A</t>
  </si>
  <si>
    <t>Pernambucanas Financ S.A</t>
  </si>
  <si>
    <t>177 - Guide Investimentos S.A. Corretora de Valores</t>
  </si>
  <si>
    <t>Guide Investimentos S.A. Corretora de Valores</t>
  </si>
  <si>
    <t>180 - Cm Capital Markets Cctvm Ltda</t>
  </si>
  <si>
    <t>Cm Capital Markets Cctvm Ltda</t>
  </si>
  <si>
    <t>182 - Dacasa Financeira S/A</t>
  </si>
  <si>
    <t>Dacasa Financeira S/A</t>
  </si>
  <si>
    <t>183 - Socred S.A</t>
  </si>
  <si>
    <t>Socred S.A</t>
  </si>
  <si>
    <t>184 - Banco Itaú BBA S.A.</t>
  </si>
  <si>
    <t>Banco Itaú BBA S.A.</t>
  </si>
  <si>
    <t>188 - Ativa Investimentos S.A</t>
  </si>
  <si>
    <t>Ativa Investimentos S.A</t>
  </si>
  <si>
    <t>189 - HS Financeira S/A Crédito, Financiamento e Investimentos</t>
  </si>
  <si>
    <t>HS Financeira S/A Crédito, Financiamento e Investimentos</t>
  </si>
  <si>
    <t>190 - Servicoop</t>
  </si>
  <si>
    <t>Servicoop</t>
  </si>
  <si>
    <t>191 - Nova Futura Corretora de Títulos e Valores Mobiliários Ltda.</t>
  </si>
  <si>
    <t>Nova Futura Corretora de Títulos e Valores Mobiliários Ltda.</t>
  </si>
  <si>
    <t>194 - Parmetal Distribuidora de Títulos e Valores Mobiliários Ltda</t>
  </si>
  <si>
    <t>Parmetal Distribuidora de Títulos e Valores Mobiliários Ltda</t>
  </si>
  <si>
    <t>196 - Banco Fair Corretora de Câmbio S.A</t>
  </si>
  <si>
    <t>Banco Fair Corretora de Câmbio S.A</t>
  </si>
  <si>
    <t>197 - Stone Pagamentos S.A</t>
  </si>
  <si>
    <t>Stone Pagamentos S.A</t>
  </si>
  <si>
    <t>204 - Banco Bradesco Cartões S.A.</t>
  </si>
  <si>
    <t>Banco Bradesco Cartões S.A.</t>
  </si>
  <si>
    <t>208 - Banco BTG Pactual S.A.</t>
  </si>
  <si>
    <t>Banco BTG Pactual S.A.</t>
  </si>
  <si>
    <t>212 - Banco Original S.A.</t>
  </si>
  <si>
    <t>Banco Original S.A.</t>
  </si>
  <si>
    <t>213 - Banco Arbi S.A.</t>
  </si>
  <si>
    <t>Banco Arbi S.A.</t>
  </si>
  <si>
    <t>217 - Banco John Deere S.A.</t>
  </si>
  <si>
    <t>Banco John Deere S.A.</t>
  </si>
  <si>
    <t>218 - Banco BS2 S.A.</t>
  </si>
  <si>
    <t>Banco BS2 S.A.</t>
  </si>
  <si>
    <t>222 - Banco Credit Agricole Brasil S.A.</t>
  </si>
  <si>
    <t>Banco Credit Agricole Brasil S.A.</t>
  </si>
  <si>
    <t>224 - Banco Fibra S.A.</t>
  </si>
  <si>
    <t>Banco Fibra S.A.</t>
  </si>
  <si>
    <t>233 - Banco Cifra S.A.</t>
  </si>
  <si>
    <t>Banco Cifra S.A.</t>
  </si>
  <si>
    <t>241 - Banco Clássico S.A.</t>
  </si>
  <si>
    <t>Banco Clássico S.A.</t>
  </si>
  <si>
    <t>243 - Banco Máxima S.A.</t>
  </si>
  <si>
    <t>Banco Máxima S.A.</t>
  </si>
  <si>
    <t>246 - Banco ABC Brasil S.A.</t>
  </si>
  <si>
    <t>Banco ABC Brasil S.A.</t>
  </si>
  <si>
    <t>249 - Banco Investcred Unibanco S.A.</t>
  </si>
  <si>
    <t>Banco Investcred Unibanco S.A.</t>
  </si>
  <si>
    <t>250 - BCV – Banco de Crédito e Varejo S.A.</t>
  </si>
  <si>
    <t>BCV – Banco de Crédito e Varejo S.A.</t>
  </si>
  <si>
    <t>253 - Bexs Corretora de Câmbio S/A</t>
  </si>
  <si>
    <t>Bexs Corretora de Câmbio S/A</t>
  </si>
  <si>
    <t>254 - Paraná Banco S.A.</t>
  </si>
  <si>
    <t>Paraná Banco S.A.</t>
  </si>
  <si>
    <t>265 - Banco Fator S.A.</t>
  </si>
  <si>
    <t>Banco Fator S.A.</t>
  </si>
  <si>
    <t>266 - Banco Cédula S.A.</t>
  </si>
  <si>
    <t>Banco Cédula S.A.</t>
  </si>
  <si>
    <t>268 - Barigui Companhia Hipotecária</t>
  </si>
  <si>
    <t>Barigui Companhia Hipotecária</t>
  </si>
  <si>
    <t>269 - HSBC Brasil S.A. – Banco de Investimento</t>
  </si>
  <si>
    <t>HSBC Brasil S.A. – Banco de Investimento</t>
  </si>
  <si>
    <t>270 - Sagitur Corretora de Câmbio Ltda.</t>
  </si>
  <si>
    <t>Sagitur Corretora de Câmbio Ltda.</t>
  </si>
  <si>
    <t>271 - IB Corretora de Câmbio, Títulos e Valores Mobiliários S.A.</t>
  </si>
  <si>
    <t>IB Corretora de Câmbio, Títulos e Valores Mobiliários S.A.</t>
  </si>
  <si>
    <t>273 - Cooperativa de Crédito Rural de São Miguel do Oeste – Sulcredi/São Miguel</t>
  </si>
  <si>
    <t>Cooperativa de Crédito Rural de São Miguel do Oeste – Sulcredi/São Miguel</t>
  </si>
  <si>
    <t>276 - Senff S.A. – Crédito, Financiamento e Investimento</t>
  </si>
  <si>
    <t>Senff S.A. – Crédito, Financiamento e Investimento</t>
  </si>
  <si>
    <t>278 - Genial Investimentos Corretora de Valores Mobiliários S.A.</t>
  </si>
  <si>
    <t>Genial Investimentos Corretora de Valores Mobiliários S.A.</t>
  </si>
  <si>
    <t>279 - Cooperativa de Crédito Rural de Primavera Do Leste</t>
  </si>
  <si>
    <t>Cooperativa de Crédito Rural de Primavera Do Leste</t>
  </si>
  <si>
    <t>280 - Avista S.A. Crédito, Financiamento e Investimento</t>
  </si>
  <si>
    <t>Avista S.A. Crédito, Financiamento e Investimento</t>
  </si>
  <si>
    <t>283 - Rb Capital Investimentos Dtvm Ltda</t>
  </si>
  <si>
    <t>Rb Capital Investimentos Dtvm Ltda</t>
  </si>
  <si>
    <t>285 - Frente Corretora de Câmbio Ltda.</t>
  </si>
  <si>
    <t>Frente Corretora de Câmbio Ltda.</t>
  </si>
  <si>
    <t>286 - Cooperativa de Crédito Rural De Ouro</t>
  </si>
  <si>
    <t>Cooperativa de Crédito Rural De Ouro</t>
  </si>
  <si>
    <t>288 - Carol Distribuidora de Títulos e Valor Mobiliários Ltda</t>
  </si>
  <si>
    <t>Carol Distribuidora de Títulos e Valor Mobiliários Ltda</t>
  </si>
  <si>
    <t>290 - Pagseguro Internet S.A</t>
  </si>
  <si>
    <t>Pagseguro Internet S.A</t>
  </si>
  <si>
    <t>292 - BS2 Distribuidora de Títulos e Valores Mobiliários S.A.</t>
  </si>
  <si>
    <t>BS2 Distribuidora de Títulos e Valores Mobiliários S.A.</t>
  </si>
  <si>
    <t>293 - Lastro RDV Distribuidora de Títulos e Valores Mobiliários Ltda.</t>
  </si>
  <si>
    <t>Lastro RDV Distribuidora de Títulos e Valores Mobiliários Ltda.</t>
  </si>
  <si>
    <t>298 - Vips Cc Ltda</t>
  </si>
  <si>
    <t>Vips Cc Ltda</t>
  </si>
  <si>
    <t>299 - Sorocred Crédito, Financiamento e Investimento S.A.</t>
  </si>
  <si>
    <t>Sorocred Crédito, Financiamento e Investimento S.A.</t>
  </si>
  <si>
    <t>300 - Banco de La Nacion Argentina</t>
  </si>
  <si>
    <t>Banco de La Nacion Argentina</t>
  </si>
  <si>
    <t>301 - Bpp Instituição De Pagamentos S.A</t>
  </si>
  <si>
    <t>Bpp Instituição De Pagamentos S.A</t>
  </si>
  <si>
    <t>310 - Vortx Distribuidora de Títulos e Valores Mobiliários Ltda</t>
  </si>
  <si>
    <t>Vortx Distribuidora de Títulos e Valores Mobiliários Ltda</t>
  </si>
  <si>
    <t>318 - Banco BMG S.A.</t>
  </si>
  <si>
    <t>Banco BMG S.A.</t>
  </si>
  <si>
    <t>320 - China Construction Bank (Brasil) Banco Múltiplo S.A.</t>
  </si>
  <si>
    <t>China Construction Bank (Brasil) Banco Múltiplo S.A.</t>
  </si>
  <si>
    <t>323 - Mercado Pago – Conta Do Mercado Livre</t>
  </si>
  <si>
    <t>Mercado Pago – Conta Do Mercado Livre</t>
  </si>
  <si>
    <t>326 - Parati – Crédito Financiamento e Investimento S.A.</t>
  </si>
  <si>
    <t>Parati – Crédito Financiamento e Investimento S.A.</t>
  </si>
  <si>
    <t>335 - Banco Digio S.A</t>
  </si>
  <si>
    <t>Banco Digio S.A</t>
  </si>
  <si>
    <t>336 - Banco C6 S.A – C6 Bank</t>
  </si>
  <si>
    <t>Banco C6 S.A – C6 Bank</t>
  </si>
  <si>
    <t>340 - Super Pagamentos e Administração de Meios Eletrônicos S.A.</t>
  </si>
  <si>
    <t>Super Pagamentos e Administração de Meios Eletrônicos S.A.</t>
  </si>
  <si>
    <t>348 - Banco Xp S/A</t>
  </si>
  <si>
    <t>Banco Xp S/A</t>
  </si>
  <si>
    <t>366 - Banco Société Générale Brasil S.A.</t>
  </si>
  <si>
    <t>Banco Société Générale Brasil S.A.</t>
  </si>
  <si>
    <t>368 - Banco Carrefour</t>
  </si>
  <si>
    <t>Banco Carrefour</t>
  </si>
  <si>
    <t>370 - Banco Mizuho do Brasil S.A.</t>
  </si>
  <si>
    <t>Banco Mizuho do Brasil S.A.</t>
  </si>
  <si>
    <t>376 - Banco J. P. Morgan S.A.</t>
  </si>
  <si>
    <t>Banco J. P. Morgan S.A.</t>
  </si>
  <si>
    <t>389 - Banco Mercantil de Investimentos S.A.</t>
  </si>
  <si>
    <t>Banco Mercantil de Investimentos S.A.</t>
  </si>
  <si>
    <t>389 - Banco Mercantil do Brasil S.A.</t>
  </si>
  <si>
    <t>Banco Mercantil do Brasil S.A.</t>
  </si>
  <si>
    <t>394 - Banco Bradesco Financiamentos S.A.</t>
  </si>
  <si>
    <t>Banco Bradesco Financiamentos S.A.</t>
  </si>
  <si>
    <t>399 - Kirton Bank S.A. – Banco Múltiplo</t>
  </si>
  <si>
    <t>Kirton Bank S.A. – Banco Múltiplo</t>
  </si>
  <si>
    <t>412 - Banco Capital S.A.</t>
  </si>
  <si>
    <t>Banco Capital S.A.</t>
  </si>
  <si>
    <t>422 - Banco Safra S.A.</t>
  </si>
  <si>
    <t>Banco Safra S.A.</t>
  </si>
  <si>
    <t>456 - Banco MUFG Brasil S.A.</t>
  </si>
  <si>
    <t>Banco MUFG Brasil S.A.</t>
  </si>
  <si>
    <t>464 - Banco Sumitomo Mitsui Brasileiro S.A.</t>
  </si>
  <si>
    <t>Banco Sumitomo Mitsui Brasileiro S.A.</t>
  </si>
  <si>
    <t>473 - Banco Caixa Geral – Brasil S.A.</t>
  </si>
  <si>
    <t>Banco Caixa Geral – Brasil S.A.</t>
  </si>
  <si>
    <t>477 - Citibank N.A.</t>
  </si>
  <si>
    <t>Citibank N.A.</t>
  </si>
  <si>
    <t>479 - Banco ItauBank S.A</t>
  </si>
  <si>
    <t>Banco ItauBank S.A</t>
  </si>
  <si>
    <t>487 - Deutsche Bank S.A. – Banco Alemão</t>
  </si>
  <si>
    <t>Deutsche Bank S.A. – Banco Alemão</t>
  </si>
  <si>
    <t>488 - JPMorgan Chase Bank, National Association</t>
  </si>
  <si>
    <t>JPMorgan Chase Bank, National Association</t>
  </si>
  <si>
    <t>492 - ING Bank N.V.</t>
  </si>
  <si>
    <t>ING Bank N.V.</t>
  </si>
  <si>
    <t>494 - Banco de La Republica Oriental del Uruguay</t>
  </si>
  <si>
    <t>Banco de La Republica Oriental del Uruguay</t>
  </si>
  <si>
    <t>495 - Banco de La Provincia de Buenos Aires</t>
  </si>
  <si>
    <t>Banco de La Provincia de Buenos Aires</t>
  </si>
  <si>
    <t>505 - Banco Credit Suisse (Brasil) S.A.</t>
  </si>
  <si>
    <t>Banco Credit Suisse (Brasil) S.A.</t>
  </si>
  <si>
    <t>545 - Senso Ccvm S.A</t>
  </si>
  <si>
    <t>Senso Ccvm S.A</t>
  </si>
  <si>
    <t>600 - Banco Luso Brasileiro S.A.</t>
  </si>
  <si>
    <t>Banco Luso Brasileiro S.A.</t>
  </si>
  <si>
    <t>604 - Banco Industrial do Brasil S.A.</t>
  </si>
  <si>
    <t>Banco Industrial do Brasil S.A.</t>
  </si>
  <si>
    <t>610 - Banco VR S.A.</t>
  </si>
  <si>
    <t>Banco VR S.A.</t>
  </si>
  <si>
    <t>611 - Banco Paulista S.A.</t>
  </si>
  <si>
    <t>Banco Paulista S.A.</t>
  </si>
  <si>
    <t>612 - Banco Guanabara S.A.</t>
  </si>
  <si>
    <t>Banco Guanabara S.A.</t>
  </si>
  <si>
    <t>613 - Omni Banco S.A.</t>
  </si>
  <si>
    <t>Omni Banco S.A.</t>
  </si>
  <si>
    <t>623 - Banco PAN S.A.</t>
  </si>
  <si>
    <t>Banco PAN S.A.</t>
  </si>
  <si>
    <t>626 - Banco Ficsa S.A.</t>
  </si>
  <si>
    <t>Banco Ficsa S.A.</t>
  </si>
  <si>
    <t>630 - Banco Smartbank S.A.</t>
  </si>
  <si>
    <t>Banco Smartbank S.A.</t>
  </si>
  <si>
    <t>633 - Banco Rendimento S.A.</t>
  </si>
  <si>
    <t>Banco Rendimento S.A.</t>
  </si>
  <si>
    <t>634 - Banco Triângulo S.A.</t>
  </si>
  <si>
    <t>Banco Triângulo S.A.</t>
  </si>
  <si>
    <t>637 - Banco Sofisa S.A.</t>
  </si>
  <si>
    <t>Banco Sofisa S.A.</t>
  </si>
  <si>
    <t>641 - Banco Alvorada S.A.</t>
  </si>
  <si>
    <t>Banco Alvorada S.A.</t>
  </si>
  <si>
    <t>643 - Banco Pine S.A.</t>
  </si>
  <si>
    <t>Banco Pine S.A.</t>
  </si>
  <si>
    <t>652 - Itaú Unibanco Holding S.A.</t>
  </si>
  <si>
    <t>Itaú Unibanco Holding S.A.</t>
  </si>
  <si>
    <t>653 - Banco Indusval S.A.</t>
  </si>
  <si>
    <t>Banco Indusval S.A.</t>
  </si>
  <si>
    <t>654 - Banco A.J.Renner S.A.</t>
  </si>
  <si>
    <t>Banco A.J.Renner S.A.</t>
  </si>
  <si>
    <t>655 - Banco Votorantim S.A.</t>
  </si>
  <si>
    <t>Banco Votorantim S.A.</t>
  </si>
  <si>
    <t>658 - Banco Porto Real de Investimentos S.A.</t>
  </si>
  <si>
    <t>Banco Porto Real de Investimentos S.A.</t>
  </si>
  <si>
    <t>707 - Banco Daycoval S.A.</t>
  </si>
  <si>
    <t>Banco Daycoval S.A.</t>
  </si>
  <si>
    <t>712 - Banco Ourinvest S.A.</t>
  </si>
  <si>
    <t>Banco Ourinvest S.A.</t>
  </si>
  <si>
    <t>720 - Banco Maxinvest S.A.</t>
  </si>
  <si>
    <t>Banco Maxinvest S.A.</t>
  </si>
  <si>
    <t>739 - Banco Cetelem S.A.</t>
  </si>
  <si>
    <t>Banco Cetelem S.A.</t>
  </si>
  <si>
    <t>741 - Banco Ribeirão Preto S.A.</t>
  </si>
  <si>
    <t>Banco Ribeirão Preto S.A.</t>
  </si>
  <si>
    <t>743 - Banco Semear S.A.</t>
  </si>
  <si>
    <t>Banco Semear S.A.</t>
  </si>
  <si>
    <t>746 - Banco Modal S.A.</t>
  </si>
  <si>
    <t>Banco Modal S.A.</t>
  </si>
  <si>
    <t>747 - Banco Rabobank International Brasil S.A.</t>
  </si>
  <si>
    <t>Banco Rabobank International Brasil S.A.</t>
  </si>
  <si>
    <t>748 - Banco Cooperativo Sicredi S.A.</t>
  </si>
  <si>
    <t>Banco Cooperativo Sicredi S.A.</t>
  </si>
  <si>
    <t>751 - Scotiabank Brasil S.A. Banco Múltiplo</t>
  </si>
  <si>
    <t>Scotiabank Brasil S.A. Banco Múltiplo</t>
  </si>
  <si>
    <t>752 - Banco BNP Paribas Brasil S.A.</t>
  </si>
  <si>
    <t>Banco BNP Paribas Brasil S.A.</t>
  </si>
  <si>
    <t>753 - Novo Banco Continental S.A. – Banco Múltiplo</t>
  </si>
  <si>
    <t>Novo Banco Continental S.A. – Banco Múltiplo</t>
  </si>
  <si>
    <t>754 - Banco Sistema S.A.</t>
  </si>
  <si>
    <t>Banco Sistema S.A.</t>
  </si>
  <si>
    <t>755 - Bank of America Merrill Lynch Banco Múltiplo S.A.</t>
  </si>
  <si>
    <t>Bank of America Merrill Lynch Banco Múltiplo S.A.</t>
  </si>
  <si>
    <t>756 - Banco Cooperativo do Brasil S.A. – BANCOOB</t>
  </si>
  <si>
    <t>Banco Cooperativo do Brasil S.A. – BANCOOB</t>
  </si>
  <si>
    <t>757 - Banco KEB HANA do Brasil S.A.</t>
  </si>
  <si>
    <t>Banco KEB HANA do Brasil S.A.</t>
  </si>
  <si>
    <t>085-x - Cooperativa Central de Crédito Urbano-CECRED</t>
  </si>
  <si>
    <t>085-x</t>
  </si>
  <si>
    <t>Cooperativa Central de Crédito Urbano-CECRED</t>
  </si>
  <si>
    <t>087-6 - Cooperativa Central de Economia e Crédito Mútuo das Unicredsde Santa Catarina e Paraná</t>
  </si>
  <si>
    <t>087-6</t>
  </si>
  <si>
    <t>Cooperativa Central de Economia e Crédito Mútuo das Unicredsde Santa Catarina e Paraná</t>
  </si>
  <si>
    <t>089-2 - Cooperativa de Crédito Rural da Região da Mogiana</t>
  </si>
  <si>
    <t>089-2</t>
  </si>
  <si>
    <t>Cooperativa de Crédito Rural da Região da Mogiana</t>
  </si>
  <si>
    <t>090-2 - Cooperativa Central de Economia e Crédito Mutuo – SICOOB UNIMAIS</t>
  </si>
  <si>
    <t>090-2</t>
  </si>
  <si>
    <t>Cooperativa Central de Economia e Crédito Mutuo – SICOOB UNIMAIS</t>
  </si>
  <si>
    <t>091-4 - Unicred Central do Rio Grande do Sul</t>
  </si>
  <si>
    <t>091-4</t>
  </si>
  <si>
    <t>Unicred Central do Rio Grande do Sul</t>
  </si>
  <si>
    <t>098-1 - CREDIALIANÇA COOPERATIVA DE CRÉDITO RURAL</t>
  </si>
  <si>
    <t>098-1</t>
  </si>
  <si>
    <t>CREDIALIANÇA COOPERATIVA DE CRÉDITO RURAL</t>
  </si>
  <si>
    <t>114-7 - Central das Cooperativas de Economia e Crédito Mútuo doEstado do Espírito Santo Ltda.</t>
  </si>
  <si>
    <t>114-7</t>
  </si>
  <si>
    <t>Central das Cooperativas de Economia e Crédito Mútuo doEstado do Espírito Santo Ltda.</t>
  </si>
  <si>
    <t>NÃO CADASTRADO</t>
  </si>
  <si>
    <t>BP</t>
  </si>
  <si>
    <t>210814 PROADI - Projeto Regionalização</t>
  </si>
  <si>
    <t>à</t>
  </si>
  <si>
    <t>Brasília/DF</t>
  </si>
  <si>
    <t>DESP.</t>
  </si>
  <si>
    <t>FBWM COMERCIO DE BEBIDAS E ALIMENTOS LTDA</t>
  </si>
  <si>
    <t>Refeição: Jantar</t>
  </si>
  <si>
    <t>Refeições e Lanches PROADI SUS</t>
  </si>
  <si>
    <t>Excluido gorjeta, bebida alcoolica, couvert artístico</t>
  </si>
  <si>
    <t>Valor limite dia</t>
  </si>
  <si>
    <t xml:space="preserve"> - </t>
  </si>
  <si>
    <t xml:space="preserve"> -</t>
  </si>
  <si>
    <t>Taxi: Residência-Aeroporto</t>
  </si>
  <si>
    <t>Taxi: Aeroporto-Hotel</t>
  </si>
  <si>
    <t>Taxi: Hotel-Aeroporto</t>
  </si>
  <si>
    <t>GUARUCOOP</t>
  </si>
  <si>
    <t>Taxi: Aeroporto-Residência</t>
  </si>
  <si>
    <t xml:space="preserve">Conta Contábil </t>
  </si>
  <si>
    <t>23/08/21</t>
  </si>
  <si>
    <t>Cia Vip</t>
  </si>
  <si>
    <t>Hospedagem Hotel Melia - 23 a 26/08/21 - XXXXX</t>
  </si>
  <si>
    <t>Viagens e Estadias PROADI SUS</t>
  </si>
  <si>
    <t>210815 PROADI - Projeto Regula Mais Brasil</t>
  </si>
  <si>
    <t>210816 PROADI - Projeto Saude em Nossas Mãos</t>
  </si>
  <si>
    <t>210818 PROADI - Projeto Rede Colaborativa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</si>
</sst>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"/>
    <numFmt numFmtId="165" formatCode="&quot;R$ &quot;#,##0.00"/>
    <numFmt numFmtId="166" formatCode="dd\-mmm\-\y\y_)"/>
    <numFmt numFmtId="167" formatCode="0;[Red]0"/>
    <numFmt numFmtId="168" formatCode="&quot;R$ &quot;#,##0.00;[Red]&quot;R$ &quot;#,##0.00"/>
  </numFmts>
  <fonts count="26" x14ac:knownFonts="1"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sz val="18"/>
      <name val="Calibri"/>
      <family val="2"/>
      <scheme val="minor"/>
    </font>
    <font>
      <sz val="12"/>
      <name val="Calibri Light"/>
      <family val="2"/>
    </font>
    <font>
      <b/>
      <sz val="14"/>
      <name val="Calibri"/>
      <family val="2"/>
    </font>
    <font>
      <b/>
      <u/>
      <sz val="10"/>
      <name val="Arial"/>
      <family val="2"/>
    </font>
    <font>
      <sz val="12"/>
      <color theme="1"/>
      <name val="Calibri Light"/>
      <family val="2"/>
    </font>
    <font>
      <b/>
      <sz val="12"/>
      <color theme="0"/>
      <name val="Calibri Light"/>
      <family val="2"/>
    </font>
    <font>
      <b/>
      <sz val="12"/>
      <name val="Calibri Light"/>
      <family val="2"/>
    </font>
    <font>
      <sz val="8"/>
      <color rgb="FFFF0000"/>
      <name val="Arial"/>
      <family val="2"/>
    </font>
    <font>
      <b/>
      <i/>
      <sz val="11"/>
      <name val="Calibri"/>
      <family val="2"/>
      <scheme val="minor"/>
    </font>
    <font>
      <sz val="8.5"/>
      <name val="Arial"/>
      <family val="2"/>
    </font>
    <font>
      <sz val="8"/>
      <name val="Arial"/>
      <family val="2"/>
    </font>
    <font>
      <sz val="10"/>
      <color theme="1"/>
      <name val="Calibri Light"/>
      <family val="2"/>
    </font>
    <font>
      <sz val="1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0" tint="-4.9989318521683403E-2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/>
  </cellStyleXfs>
  <cellXfs count="208">
    <xf numFmtId="0" fontId="0" fillId="0" borderId="0" xfId="0"/>
    <xf numFmtId="164" fontId="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5" fillId="0" borderId="0" xfId="0" applyFont="1" applyAlignment="1" applyProtection="1">
      <alignment vertical="center"/>
      <protection locked="0"/>
    </xf>
    <xf numFmtId="0" fontId="18" fillId="2" borderId="0" xfId="0" applyFont="1" applyFill="1" applyAlignment="1">
      <alignment horizontal="left" vertical="center"/>
    </xf>
    <xf numFmtId="49" fontId="5" fillId="0" borderId="0" xfId="0" applyNumberFormat="1" applyFont="1" applyAlignment="1" applyProtection="1">
      <alignment vertical="center"/>
      <protection locked="0"/>
    </xf>
    <xf numFmtId="0" fontId="19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/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10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" fontId="5" fillId="0" borderId="0" xfId="0" applyNumberFormat="1" applyFont="1" applyAlignment="1" applyProtection="1">
      <alignment horizontal="left" vertical="center"/>
      <protection locked="0"/>
    </xf>
    <xf numFmtId="49" fontId="5" fillId="0" borderId="7" xfId="0" applyNumberFormat="1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0" fontId="4" fillId="0" borderId="9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0" fontId="5" fillId="0" borderId="19" xfId="0" applyFont="1" applyBorder="1" applyAlignment="1">
      <alignment horizontal="center" vertical="center"/>
    </xf>
    <xf numFmtId="165" fontId="5" fillId="0" borderId="20" xfId="0" applyNumberFormat="1" applyFont="1" applyBorder="1" applyAlignment="1" applyProtection="1">
      <alignment horizontal="center" vertical="center"/>
      <protection locked="0"/>
    </xf>
    <xf numFmtId="165" fontId="5" fillId="0" borderId="20" xfId="0" applyNumberFormat="1" applyFont="1" applyBorder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5" fillId="0" borderId="15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10" xfId="0" applyFont="1" applyBorder="1" applyAlignment="1" applyProtection="1">
      <alignment vertical="center" wrapText="1"/>
      <protection locked="0"/>
    </xf>
    <xf numFmtId="0" fontId="6" fillId="0" borderId="9" xfId="0" applyFont="1" applyBorder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6" fillId="0" borderId="7" xfId="0" applyFont="1" applyBorder="1" applyAlignment="1" applyProtection="1">
      <alignment vertical="center" wrapText="1"/>
      <protection locked="0"/>
    </xf>
    <xf numFmtId="0" fontId="6" fillId="0" borderId="8" xfId="0" applyFont="1" applyBorder="1" applyAlignment="1" applyProtection="1">
      <alignment vertical="center" wrapText="1"/>
      <protection locked="0"/>
    </xf>
    <xf numFmtId="0" fontId="6" fillId="0" borderId="6" xfId="0" applyFont="1" applyBorder="1" applyAlignment="1" applyProtection="1">
      <alignment vertical="center" wrapText="1"/>
      <protection locked="0"/>
    </xf>
    <xf numFmtId="0" fontId="6" fillId="0" borderId="5" xfId="0" applyFont="1" applyBorder="1" applyAlignment="1" applyProtection="1">
      <alignment vertical="center" wrapText="1"/>
      <protection locked="0"/>
    </xf>
    <xf numFmtId="0" fontId="6" fillId="0" borderId="4" xfId="0" applyFont="1" applyBorder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20" fillId="0" borderId="10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left" vertical="center"/>
      <protection locked="0"/>
    </xf>
    <xf numFmtId="49" fontId="5" fillId="5" borderId="0" xfId="0" applyNumberFormat="1" applyFont="1" applyFill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4" fillId="0" borderId="6" xfId="0" applyFont="1" applyBorder="1" applyAlignment="1" applyProtection="1">
      <alignment vertical="center"/>
      <protection locked="0"/>
    </xf>
    <xf numFmtId="4" fontId="22" fillId="0" borderId="0" xfId="0" applyNumberFormat="1" applyFont="1"/>
    <xf numFmtId="43" fontId="3" fillId="0" borderId="0" xfId="1" applyFont="1" applyAlignment="1" applyProtection="1">
      <alignment vertical="center"/>
      <protection locked="0"/>
    </xf>
    <xf numFmtId="43" fontId="3" fillId="0" borderId="0" xfId="1" applyFont="1"/>
    <xf numFmtId="43" fontId="10" fillId="0" borderId="0" xfId="1" applyFont="1" applyAlignment="1" applyProtection="1">
      <alignment vertical="center"/>
      <protection locked="0"/>
    </xf>
    <xf numFmtId="43" fontId="2" fillId="0" borderId="0" xfId="0" applyNumberFormat="1" applyFont="1" applyAlignment="1" applyProtection="1">
      <alignment vertical="center"/>
      <protection locked="0"/>
    </xf>
    <xf numFmtId="165" fontId="5" fillId="0" borderId="19" xfId="0" applyNumberFormat="1" applyFont="1" applyBorder="1" applyAlignment="1">
      <alignment horizontal="center" vertical="center"/>
    </xf>
    <xf numFmtId="165" fontId="4" fillId="0" borderId="19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3" fillId="0" borderId="8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 indent="1"/>
    </xf>
    <xf numFmtId="0" fontId="5" fillId="0" borderId="0" xfId="0" applyFont="1" applyAlignment="1" applyProtection="1">
      <alignment horizontal="right" vertical="center"/>
      <protection locked="0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11" fillId="0" borderId="0" xfId="0" applyFont="1" applyAlignment="1" applyProtection="1">
      <alignment horizontal="right" vertical="center"/>
      <protection locked="0"/>
    </xf>
    <xf numFmtId="0" fontId="14" fillId="0" borderId="0" xfId="0" applyFont="1" applyAlignment="1">
      <alignment horizontal="center" vertical="center" wrapText="1"/>
    </xf>
    <xf numFmtId="0" fontId="17" fillId="5" borderId="21" xfId="0" applyFont="1" applyFill="1" applyBorder="1" applyAlignment="1">
      <alignment vertical="center"/>
    </xf>
    <xf numFmtId="3" fontId="6" fillId="0" borderId="0" xfId="0" applyNumberFormat="1" applyFont="1" applyAlignment="1" applyProtection="1">
      <alignment vertical="center" wrapText="1"/>
      <protection locked="0"/>
    </xf>
    <xf numFmtId="3" fontId="6" fillId="0" borderId="0" xfId="0" applyNumberFormat="1" applyFont="1" applyAlignment="1" applyProtection="1">
      <alignment vertical="center"/>
      <protection locked="0"/>
    </xf>
    <xf numFmtId="0" fontId="17" fillId="6" borderId="21" xfId="0" applyFont="1" applyFill="1" applyBorder="1" applyAlignment="1">
      <alignment vertical="center"/>
    </xf>
    <xf numFmtId="1" fontId="14" fillId="0" borderId="0" xfId="0" applyNumberFormat="1" applyFont="1" applyAlignment="1">
      <alignment vertical="center" wrapText="1"/>
    </xf>
    <xf numFmtId="0" fontId="5" fillId="0" borderId="10" xfId="0" applyFont="1" applyBorder="1" applyAlignment="1" applyProtection="1">
      <alignment horizontal="right" vertical="center"/>
      <protection locked="0"/>
    </xf>
    <xf numFmtId="166" fontId="5" fillId="0" borderId="30" xfId="0" applyNumberFormat="1" applyFont="1" applyBorder="1" applyAlignment="1">
      <alignment horizontal="center" vertical="center"/>
    </xf>
    <xf numFmtId="0" fontId="0" fillId="0" borderId="18" xfId="0" applyBorder="1"/>
    <xf numFmtId="0" fontId="0" fillId="0" borderId="17" xfId="0" applyBorder="1"/>
    <xf numFmtId="44" fontId="3" fillId="0" borderId="16" xfId="0" applyNumberFormat="1" applyFont="1" applyBorder="1" applyAlignment="1" applyProtection="1">
      <alignment horizontal="right" vertical="center"/>
      <protection locked="0"/>
    </xf>
    <xf numFmtId="0" fontId="0" fillId="0" borderId="14" xfId="0" applyBorder="1" applyProtection="1">
      <protection locked="0"/>
    </xf>
    <xf numFmtId="0" fontId="0" fillId="0" borderId="13" xfId="0" applyBorder="1" applyProtection="1">
      <protection locked="0"/>
    </xf>
    <xf numFmtId="0" fontId="3" fillId="0" borderId="16" xfId="0" applyFont="1" applyBorder="1" applyAlignment="1" applyProtection="1">
      <alignment horizontal="left" vertical="center" wrapText="1"/>
      <protection locked="0"/>
    </xf>
    <xf numFmtId="0" fontId="3" fillId="0" borderId="16" xfId="0" applyFont="1" applyBorder="1" applyAlignment="1">
      <alignment horizontal="center" vertical="center"/>
    </xf>
    <xf numFmtId="0" fontId="0" fillId="0" borderId="14" xfId="0" applyBorder="1"/>
    <xf numFmtId="0" fontId="0" fillId="0" borderId="13" xfId="0" applyBorder="1"/>
    <xf numFmtId="1" fontId="25" fillId="0" borderId="1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49" fontId="5" fillId="5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0" borderId="16" xfId="0" applyFont="1" applyBorder="1" applyAlignment="1" applyProtection="1">
      <alignment horizontal="left" vertical="center"/>
      <protection locked="0"/>
    </xf>
    <xf numFmtId="0" fontId="3" fillId="0" borderId="11" xfId="0" applyFont="1" applyBorder="1" applyAlignment="1">
      <alignment horizontal="center" vertical="center"/>
    </xf>
    <xf numFmtId="0" fontId="0" fillId="0" borderId="10" xfId="0" applyBorder="1"/>
    <xf numFmtId="0" fontId="25" fillId="0" borderId="1" xfId="0" applyFont="1" applyBorder="1" applyAlignment="1">
      <alignment horizontal="center" vertical="center"/>
    </xf>
    <xf numFmtId="0" fontId="5" fillId="0" borderId="8" xfId="0" applyFont="1" applyBorder="1" applyAlignment="1" applyProtection="1">
      <alignment horizontal="left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5" fillId="0" borderId="20" xfId="0" applyFont="1" applyBorder="1" applyAlignment="1">
      <alignment horizontal="center" vertical="center"/>
    </xf>
    <xf numFmtId="0" fontId="0" fillId="0" borderId="5" xfId="0" applyBorder="1"/>
    <xf numFmtId="0" fontId="0" fillId="0" borderId="4" xfId="0" applyBorder="1"/>
    <xf numFmtId="49" fontId="3" fillId="0" borderId="16" xfId="0" applyNumberFormat="1" applyFont="1" applyBorder="1" applyAlignment="1" applyProtection="1">
      <alignment horizontal="center" vertical="center"/>
      <protection locked="0"/>
    </xf>
    <xf numFmtId="165" fontId="5" fillId="0" borderId="16" xfId="0" applyNumberFormat="1" applyFont="1" applyBorder="1" applyAlignment="1">
      <alignment horizontal="center" vertical="center"/>
    </xf>
    <xf numFmtId="14" fontId="3" fillId="0" borderId="30" xfId="0" applyNumberFormat="1" applyFont="1" applyBorder="1" applyAlignment="1" applyProtection="1">
      <alignment horizontal="center" vertical="center"/>
      <protection locked="0"/>
    </xf>
    <xf numFmtId="0" fontId="0" fillId="0" borderId="18" xfId="0" applyBorder="1" applyProtection="1">
      <protection locked="0"/>
    </xf>
    <xf numFmtId="0" fontId="0" fillId="0" borderId="17" xfId="0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0" fontId="0" fillId="0" borderId="9" xfId="0" applyBorder="1"/>
    <xf numFmtId="0" fontId="0" fillId="0" borderId="6" xfId="0" applyBorder="1"/>
    <xf numFmtId="16" fontId="3" fillId="0" borderId="30" xfId="0" applyNumberFormat="1" applyFont="1" applyBorder="1" applyAlignment="1" applyProtection="1">
      <alignment horizontal="center" vertical="center"/>
      <protection locked="0"/>
    </xf>
    <xf numFmtId="0" fontId="3" fillId="0" borderId="30" xfId="0" applyFont="1" applyBorder="1" applyAlignment="1" applyProtection="1">
      <alignment horizontal="center" vertical="center"/>
      <protection locked="0"/>
    </xf>
    <xf numFmtId="0" fontId="24" fillId="0" borderId="12" xfId="0" applyFont="1" applyBorder="1" applyAlignment="1">
      <alignment horizontal="left" vertical="center"/>
    </xf>
    <xf numFmtId="0" fontId="0" fillId="0" borderId="22" xfId="0" applyBorder="1"/>
    <xf numFmtId="0" fontId="0" fillId="0" borderId="23" xfId="0" applyBorder="1"/>
    <xf numFmtId="0" fontId="5" fillId="0" borderId="1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0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44" fontId="25" fillId="0" borderId="1" xfId="0" applyNumberFormat="1" applyFont="1" applyBorder="1" applyAlignment="1">
      <alignment vertical="center"/>
    </xf>
    <xf numFmtId="0" fontId="3" fillId="0" borderId="16" xfId="0" applyFont="1" applyBorder="1" applyAlignment="1" applyProtection="1">
      <alignment horizontal="center" vertical="center"/>
      <protection locked="0"/>
    </xf>
    <xf numFmtId="44" fontId="25" fillId="0" borderId="26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5" fillId="0" borderId="12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14" fontId="5" fillId="5" borderId="0" xfId="0" applyNumberFormat="1" applyFont="1" applyFill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left" vertical="center" wrapText="1"/>
      <protection locked="0"/>
    </xf>
    <xf numFmtId="44" fontId="10" fillId="0" borderId="16" xfId="0" applyNumberFormat="1" applyFont="1" applyBorder="1" applyAlignment="1">
      <alignment vertical="center"/>
    </xf>
    <xf numFmtId="0" fontId="23" fillId="0" borderId="15" xfId="0" applyFont="1" applyBorder="1" applyAlignment="1" applyProtection="1">
      <alignment horizontal="left" vertical="top"/>
      <protection locked="0"/>
    </xf>
    <xf numFmtId="0" fontId="5" fillId="0" borderId="10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0" fillId="0" borderId="5" xfId="0" applyBorder="1" applyProtection="1">
      <protection locked="0"/>
    </xf>
    <xf numFmtId="0" fontId="10" fillId="0" borderId="16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>
      <alignment horizontal="center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3" fillId="0" borderId="30" xfId="0" applyFont="1" applyBorder="1" applyAlignment="1" applyProtection="1">
      <alignment horizontal="center" vertical="center" wrapText="1"/>
      <protection locked="0"/>
    </xf>
    <xf numFmtId="44" fontId="25" fillId="0" borderId="29" xfId="0" applyNumberFormat="1" applyFont="1" applyBorder="1" applyAlignment="1">
      <alignment vertical="center"/>
    </xf>
    <xf numFmtId="0" fontId="0" fillId="0" borderId="28" xfId="0" applyBorder="1"/>
    <xf numFmtId="0" fontId="0" fillId="0" borderId="27" xfId="0" applyBorder="1"/>
    <xf numFmtId="0" fontId="4" fillId="0" borderId="0" xfId="0" applyFont="1" applyAlignment="1" applyProtection="1">
      <alignment horizontal="center" vertical="center"/>
      <protection locked="0"/>
    </xf>
    <xf numFmtId="0" fontId="10" fillId="0" borderId="31" xfId="0" applyFont="1" applyBorder="1" applyAlignment="1">
      <alignment horizontal="center" vertical="center"/>
    </xf>
    <xf numFmtId="0" fontId="21" fillId="5" borderId="0" xfId="0" applyFont="1" applyFill="1" applyAlignment="1" applyProtection="1">
      <alignment horizontal="center" vertical="center" wrapText="1"/>
      <protection locked="0"/>
    </xf>
    <xf numFmtId="167" fontId="5" fillId="5" borderId="0" xfId="0" applyNumberFormat="1" applyFont="1" applyFill="1" applyAlignment="1" applyProtection="1">
      <alignment horizontal="center" vertical="center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44" fontId="10" fillId="0" borderId="16" xfId="0" applyNumberFormat="1" applyFont="1" applyBorder="1" applyAlignment="1">
      <alignment horizontal="center" vertical="center"/>
    </xf>
    <xf numFmtId="0" fontId="5" fillId="0" borderId="31" xfId="0" applyFont="1" applyBorder="1" applyAlignment="1" applyProtection="1">
      <alignment horizontal="center" vertical="center"/>
      <protection locked="0"/>
    </xf>
    <xf numFmtId="0" fontId="0" fillId="0" borderId="9" xfId="0" applyBorder="1" applyProtection="1">
      <protection locked="0"/>
    </xf>
    <xf numFmtId="0" fontId="5" fillId="0" borderId="29" xfId="0" applyFont="1" applyBorder="1" applyAlignment="1">
      <alignment horizontal="center" vertical="center"/>
    </xf>
    <xf numFmtId="0" fontId="5" fillId="5" borderId="0" xfId="0" applyFont="1" applyFill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left" vertical="top" wrapText="1"/>
      <protection locked="0"/>
    </xf>
    <xf numFmtId="0" fontId="0" fillId="0" borderId="8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4" xfId="0" applyBorder="1" applyProtection="1"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168" fontId="1" fillId="0" borderId="16" xfId="0" applyNumberFormat="1" applyFont="1" applyBorder="1" applyAlignment="1">
      <alignment horizontal="center" vertical="center"/>
    </xf>
    <xf numFmtId="0" fontId="10" fillId="0" borderId="8" xfId="0" applyFont="1" applyBorder="1" applyAlignment="1" applyProtection="1">
      <alignment horizontal="center" vertical="center"/>
      <protection locked="0"/>
    </xf>
    <xf numFmtId="165" fontId="5" fillId="0" borderId="16" xfId="0" applyNumberFormat="1" applyFont="1" applyBorder="1" applyAlignment="1" applyProtection="1">
      <alignment horizontal="center" vertical="center"/>
      <protection locked="0"/>
    </xf>
    <xf numFmtId="0" fontId="25" fillId="0" borderId="29" xfId="0" applyFont="1" applyBorder="1" applyAlignment="1">
      <alignment horizontal="center" vertical="center"/>
    </xf>
    <xf numFmtId="49" fontId="5" fillId="0" borderId="10" xfId="0" applyNumberFormat="1" applyFont="1" applyBorder="1" applyAlignment="1" applyProtection="1">
      <alignment horizontal="center" vertical="center"/>
      <protection locked="0"/>
    </xf>
    <xf numFmtId="0" fontId="13" fillId="0" borderId="16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1" fontId="25" fillId="0" borderId="29" xfId="0" applyNumberFormat="1" applyFont="1" applyBorder="1" applyAlignment="1">
      <alignment horizontal="center" vertical="center"/>
    </xf>
    <xf numFmtId="0" fontId="16" fillId="0" borderId="0" xfId="0" applyFont="1" applyAlignment="1" applyProtection="1">
      <alignment horizontal="center" vertical="center"/>
      <protection locked="0"/>
    </xf>
    <xf numFmtId="0" fontId="5" fillId="3" borderId="16" xfId="0" applyFont="1" applyFill="1" applyBorder="1" applyAlignment="1">
      <alignment horizontal="center" vertical="center"/>
    </xf>
    <xf numFmtId="0" fontId="24" fillId="0" borderId="29" xfId="0" applyFont="1" applyBorder="1" applyAlignment="1">
      <alignment horizontal="left" vertical="center"/>
    </xf>
    <xf numFmtId="0" fontId="10" fillId="0" borderId="16" xfId="0" applyFont="1" applyBorder="1" applyAlignment="1">
      <alignment horizontal="right" vertical="center"/>
    </xf>
    <xf numFmtId="0" fontId="4" fillId="0" borderId="16" xfId="0" applyFont="1" applyBorder="1" applyAlignment="1">
      <alignment horizontal="center" vertical="center"/>
    </xf>
    <xf numFmtId="44" fontId="4" fillId="0" borderId="16" xfId="0" applyNumberFormat="1" applyFont="1" applyBorder="1" applyAlignment="1" applyProtection="1">
      <alignment horizontal="right" vertical="center"/>
      <protection locked="0"/>
    </xf>
    <xf numFmtId="0" fontId="7" fillId="0" borderId="16" xfId="0" applyFont="1" applyBorder="1" applyAlignment="1">
      <alignment horizontal="center" vertical="center"/>
    </xf>
    <xf numFmtId="44" fontId="3" fillId="0" borderId="1" xfId="0" applyNumberFormat="1" applyFont="1" applyBorder="1" applyAlignment="1">
      <alignment vertical="center"/>
    </xf>
    <xf numFmtId="1" fontId="3" fillId="0" borderId="1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49" fontId="7" fillId="0" borderId="16" xfId="0" applyNumberFormat="1" applyFont="1" applyBorder="1" applyAlignment="1" applyProtection="1">
      <alignment horizontal="center" vertical="center"/>
      <protection locked="0"/>
    </xf>
    <xf numFmtId="14" fontId="3" fillId="0" borderId="30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7" fillId="0" borderId="16" xfId="0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 wrapText="1"/>
      <protection locked="0"/>
    </xf>
    <xf numFmtId="44" fontId="7" fillId="0" borderId="16" xfId="0" applyNumberFormat="1" applyFont="1" applyBorder="1" applyAlignment="1" applyProtection="1">
      <alignment horizontal="right" vertical="center"/>
      <protection locked="0"/>
    </xf>
    <xf numFmtId="44" fontId="5" fillId="0" borderId="16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/>
    </xf>
    <xf numFmtId="44" fontId="3" fillId="0" borderId="12" xfId="0" applyNumberFormat="1" applyFont="1" applyBorder="1" applyAlignment="1">
      <alignment vertical="center"/>
    </xf>
    <xf numFmtId="168" fontId="1" fillId="0" borderId="16" xfId="0" applyNumberFormat="1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>
      <alignment horizontal="right" vertical="center"/>
    </xf>
    <xf numFmtId="0" fontId="15" fillId="0" borderId="0" xfId="0" applyFont="1" applyAlignment="1" applyProtection="1">
      <alignment horizontal="center" vertical="center" wrapText="1"/>
      <protection locked="0"/>
    </xf>
    <xf numFmtId="3" fontId="6" fillId="0" borderId="11" xfId="0" applyNumberFormat="1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3" fontId="6" fillId="0" borderId="0" xfId="0" applyNumberFormat="1" applyFont="1" applyAlignment="1" applyProtection="1">
      <alignment horizontal="center" vertical="center" wrapText="1"/>
      <protection locked="0"/>
    </xf>
  </cellXfs>
  <cellStyles count="2">
    <cellStyle name="Normal" xfId="0" builtinId="0"/>
    <cellStyle name="Vírgula" xfId="1" builtinId="3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47625</xdr:colOff>
      <xdr:row>29</xdr:row>
      <xdr:rowOff>0</xdr:rowOff>
    </xdr:from>
    <xdr:to>
      <xdr:col>44</xdr:col>
      <xdr:colOff>409575</xdr:colOff>
      <xdr:row>34</xdr:row>
      <xdr:rowOff>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63325" y="0"/>
          <a:ext cx="971550" cy="87190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2</xdr:row>
      <xdr:rowOff>57151</xdr:rowOff>
    </xdr:from>
    <xdr:to>
      <xdr:col>12</xdr:col>
      <xdr:colOff>339398</xdr:colOff>
      <xdr:row>2</xdr:row>
      <xdr:rowOff>438151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6553" y="177582"/>
          <a:ext cx="2310086" cy="38100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44</xdr:col>
      <xdr:colOff>47625</xdr:colOff>
      <xdr:row>1</xdr:row>
      <xdr:rowOff>0</xdr:rowOff>
    </xdr:from>
    <xdr:to>
      <xdr:col>50</xdr:col>
      <xdr:colOff>29634</xdr:colOff>
      <xdr:row>3</xdr:row>
      <xdr:rowOff>52754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7100" y="0"/>
          <a:ext cx="971550" cy="87190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2</xdr:row>
      <xdr:rowOff>57151</xdr:rowOff>
    </xdr:from>
    <xdr:to>
      <xdr:col>12</xdr:col>
      <xdr:colOff>339398</xdr:colOff>
      <xdr:row>2</xdr:row>
      <xdr:rowOff>438151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3401" y="352426"/>
          <a:ext cx="1787197" cy="38100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44</xdr:col>
      <xdr:colOff>47625</xdr:colOff>
      <xdr:row>1</xdr:row>
      <xdr:rowOff>0</xdr:rowOff>
    </xdr:from>
    <xdr:to>
      <xdr:col>48</xdr:col>
      <xdr:colOff>105833</xdr:colOff>
      <xdr:row>3</xdr:row>
      <xdr:rowOff>52754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53725" y="171450"/>
          <a:ext cx="963084" cy="87190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1</xdr:row>
      <xdr:rowOff>57151</xdr:rowOff>
    </xdr:from>
    <xdr:to>
      <xdr:col>12</xdr:col>
      <xdr:colOff>339398</xdr:colOff>
      <xdr:row>1</xdr:row>
      <xdr:rowOff>438151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1" y="180976"/>
          <a:ext cx="2292022" cy="38100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44</xdr:col>
      <xdr:colOff>47625</xdr:colOff>
      <xdr:row>0</xdr:row>
      <xdr:rowOff>0</xdr:rowOff>
    </xdr:from>
    <xdr:to>
      <xdr:col>50</xdr:col>
      <xdr:colOff>19050</xdr:colOff>
      <xdr:row>2</xdr:row>
      <xdr:rowOff>52754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3325" y="0"/>
          <a:ext cx="971550" cy="87190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1</xdr:row>
      <xdr:rowOff>57151</xdr:rowOff>
    </xdr:from>
    <xdr:to>
      <xdr:col>12</xdr:col>
      <xdr:colOff>339398</xdr:colOff>
      <xdr:row>1</xdr:row>
      <xdr:rowOff>438151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1" y="180976"/>
          <a:ext cx="2292022" cy="38100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44</xdr:col>
      <xdr:colOff>47625</xdr:colOff>
      <xdr:row>0</xdr:row>
      <xdr:rowOff>0</xdr:rowOff>
    </xdr:from>
    <xdr:to>
      <xdr:col>50</xdr:col>
      <xdr:colOff>19050</xdr:colOff>
      <xdr:row>2</xdr:row>
      <xdr:rowOff>52754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3325" y="0"/>
          <a:ext cx="971550" cy="87190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1</xdr:row>
      <xdr:rowOff>57151</xdr:rowOff>
    </xdr:from>
    <xdr:to>
      <xdr:col>12</xdr:col>
      <xdr:colOff>339398</xdr:colOff>
      <xdr:row>1</xdr:row>
      <xdr:rowOff>438151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1" y="180976"/>
          <a:ext cx="2292022" cy="38100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44</xdr:col>
      <xdr:colOff>47625</xdr:colOff>
      <xdr:row>0</xdr:row>
      <xdr:rowOff>0</xdr:rowOff>
    </xdr:from>
    <xdr:to>
      <xdr:col>50</xdr:col>
      <xdr:colOff>19050</xdr:colOff>
      <xdr:row>2</xdr:row>
      <xdr:rowOff>52754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3325" y="0"/>
          <a:ext cx="971550" cy="87190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1</xdr:row>
      <xdr:rowOff>57151</xdr:rowOff>
    </xdr:from>
    <xdr:to>
      <xdr:col>12</xdr:col>
      <xdr:colOff>339398</xdr:colOff>
      <xdr:row>1</xdr:row>
      <xdr:rowOff>438151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1" y="180976"/>
          <a:ext cx="2292022" cy="38100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44</xdr:col>
      <xdr:colOff>47625</xdr:colOff>
      <xdr:row>0</xdr:row>
      <xdr:rowOff>0</xdr:rowOff>
    </xdr:from>
    <xdr:to>
      <xdr:col>50</xdr:col>
      <xdr:colOff>19050</xdr:colOff>
      <xdr:row>2</xdr:row>
      <xdr:rowOff>52754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3325" y="0"/>
          <a:ext cx="971550" cy="87190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Z51"/>
  <sheetViews>
    <sheetView showGridLines="0" topLeftCell="A65" workbookViewId="0">
      <selection activeCell="A43" sqref="A43"/>
    </sheetView>
  </sheetViews>
  <sheetFormatPr defaultColWidth="9.109375" defaultRowHeight="13.2" x14ac:dyDescent="0.25"/>
  <cols>
    <col min="1" max="1" width="73.5546875" style="65" bestFit="1" customWidth="1"/>
    <col min="2" max="11" width="9.109375" style="65" customWidth="1"/>
    <col min="12" max="51" width="8.88671875" customWidth="1"/>
    <col min="52" max="52" width="4.5546875" customWidth="1"/>
    <col min="53" max="64" width="9.109375" style="65" customWidth="1"/>
    <col min="65" max="16384" width="9.109375" style="65"/>
  </cols>
  <sheetData>
    <row r="1" spans="1:1" ht="12.75" customHeight="1" x14ac:dyDescent="0.25"/>
    <row r="2" spans="1:1" ht="12.75" customHeight="1" x14ac:dyDescent="0.25">
      <c r="A2" s="76"/>
    </row>
    <row r="10" spans="1:1" x14ac:dyDescent="0.25">
      <c r="A10" s="74" t="s">
        <v>60</v>
      </c>
    </row>
    <row r="12" spans="1:1" x14ac:dyDescent="0.25">
      <c r="A12" s="79" t="s">
        <v>61</v>
      </c>
    </row>
    <row r="13" spans="1:1" x14ac:dyDescent="0.25">
      <c r="A13" s="65" t="s">
        <v>62</v>
      </c>
    </row>
    <row r="14" spans="1:1" x14ac:dyDescent="0.25">
      <c r="A14" s="65" t="s">
        <v>63</v>
      </c>
    </row>
    <row r="15" spans="1:1" x14ac:dyDescent="0.25">
      <c r="A15" s="65" t="s">
        <v>64</v>
      </c>
    </row>
    <row r="16" spans="1:1" x14ac:dyDescent="0.25">
      <c r="A16" s="65" t="s">
        <v>65</v>
      </c>
    </row>
    <row r="17" spans="1:1" x14ac:dyDescent="0.25">
      <c r="A17" s="65" t="s">
        <v>66</v>
      </c>
    </row>
    <row r="18" spans="1:1" x14ac:dyDescent="0.25">
      <c r="A18" s="65" t="s">
        <v>67</v>
      </c>
    </row>
    <row r="19" spans="1:1" x14ac:dyDescent="0.25">
      <c r="A19" s="65" t="s">
        <v>68</v>
      </c>
    </row>
    <row r="21" spans="1:1" x14ac:dyDescent="0.25">
      <c r="A21" s="79" t="s">
        <v>69</v>
      </c>
    </row>
    <row r="22" spans="1:1" x14ac:dyDescent="0.25">
      <c r="A22" s="65" t="s">
        <v>70</v>
      </c>
    </row>
    <row r="24" spans="1:1" x14ac:dyDescent="0.25">
      <c r="A24" s="74" t="s">
        <v>71</v>
      </c>
    </row>
    <row r="25" spans="1:1" x14ac:dyDescent="0.25">
      <c r="A25" s="77" t="s">
        <v>72</v>
      </c>
    </row>
    <row r="26" spans="1:1" x14ac:dyDescent="0.25">
      <c r="A26" s="77" t="s">
        <v>73</v>
      </c>
    </row>
    <row r="27" spans="1:1" x14ac:dyDescent="0.25">
      <c r="A27" s="77" t="s">
        <v>74</v>
      </c>
    </row>
    <row r="28" spans="1:1" x14ac:dyDescent="0.25">
      <c r="A28" s="77" t="s">
        <v>75</v>
      </c>
    </row>
    <row r="31" spans="1:1" x14ac:dyDescent="0.25">
      <c r="A31" s="79" t="s">
        <v>76</v>
      </c>
    </row>
    <row r="33" spans="1:1" x14ac:dyDescent="0.25">
      <c r="A33" s="65" t="s">
        <v>77</v>
      </c>
    </row>
    <row r="35" spans="1:1" ht="15" customHeight="1" x14ac:dyDescent="0.25">
      <c r="A35" s="79" t="s">
        <v>78</v>
      </c>
    </row>
    <row r="36" spans="1:1" x14ac:dyDescent="0.25">
      <c r="A36" s="75" t="s">
        <v>79</v>
      </c>
    </row>
    <row r="37" spans="1:1" x14ac:dyDescent="0.25">
      <c r="A37" s="80" t="s">
        <v>80</v>
      </c>
    </row>
    <row r="38" spans="1:1" x14ac:dyDescent="0.25">
      <c r="A38" s="65" t="s">
        <v>81</v>
      </c>
    </row>
    <row r="39" spans="1:1" x14ac:dyDescent="0.25">
      <c r="A39" s="65" t="s">
        <v>82</v>
      </c>
    </row>
    <row r="41" spans="1:1" x14ac:dyDescent="0.25">
      <c r="A41" s="79" t="s">
        <v>83</v>
      </c>
    </row>
    <row r="42" spans="1:1" x14ac:dyDescent="0.25">
      <c r="A42" s="65" t="s">
        <v>84</v>
      </c>
    </row>
    <row r="43" spans="1:1" x14ac:dyDescent="0.25">
      <c r="A43" s="65" t="s">
        <v>85</v>
      </c>
    </row>
    <row r="44" spans="1:1" x14ac:dyDescent="0.25">
      <c r="A44" s="65" t="s">
        <v>86</v>
      </c>
    </row>
    <row r="46" spans="1:1" x14ac:dyDescent="0.25">
      <c r="A46" s="79" t="s">
        <v>87</v>
      </c>
    </row>
    <row r="47" spans="1:1" x14ac:dyDescent="0.25">
      <c r="A47" s="65" t="s">
        <v>88</v>
      </c>
    </row>
    <row r="48" spans="1:1" x14ac:dyDescent="0.25">
      <c r="A48" s="65" t="s">
        <v>89</v>
      </c>
    </row>
    <row r="50" spans="1:1" x14ac:dyDescent="0.25">
      <c r="A50" s="79" t="s">
        <v>90</v>
      </c>
    </row>
    <row r="51" spans="1:1" x14ac:dyDescent="0.25">
      <c r="A51" s="65" t="s">
        <v>91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1"/>
  <dimension ref="A2:G285"/>
  <sheetViews>
    <sheetView showGridLines="0" topLeftCell="A18" zoomScale="70" zoomScaleNormal="70" workbookViewId="0">
      <selection activeCell="A34" sqref="A34:XFD34"/>
    </sheetView>
  </sheetViews>
  <sheetFormatPr defaultColWidth="9.109375" defaultRowHeight="15.6" x14ac:dyDescent="0.25"/>
  <cols>
    <col min="1" max="1" width="67.33203125" style="4" customWidth="1"/>
    <col min="2" max="2" width="31" style="4" bestFit="1" customWidth="1"/>
    <col min="3" max="3" width="74.44140625" style="4" customWidth="1"/>
    <col min="4" max="4" width="62.44140625" style="4" bestFit="1" customWidth="1"/>
    <col min="5" max="5" width="18.44140625" style="4" bestFit="1" customWidth="1"/>
    <col min="6" max="6" width="63.44140625" style="4" customWidth="1"/>
    <col min="7" max="7" width="73.44140625" style="4" bestFit="1" customWidth="1"/>
    <col min="8" max="19" width="9.109375" style="4" customWidth="1"/>
    <col min="20" max="16384" width="9.109375" style="4"/>
  </cols>
  <sheetData>
    <row r="2" spans="1:6" x14ac:dyDescent="0.25">
      <c r="A2" s="4" t="str">
        <f>B2&amp;C2</f>
        <v/>
      </c>
    </row>
    <row r="3" spans="1:6" x14ac:dyDescent="0.25">
      <c r="A3" s="5" t="s">
        <v>92</v>
      </c>
      <c r="B3" s="5" t="s">
        <v>93</v>
      </c>
      <c r="C3" s="5" t="s">
        <v>94</v>
      </c>
      <c r="E3" s="5" t="s">
        <v>95</v>
      </c>
      <c r="F3" s="5" t="s">
        <v>95</v>
      </c>
    </row>
    <row r="4" spans="1:6" x14ac:dyDescent="0.25">
      <c r="A4" s="4" t="str">
        <f t="shared" ref="A4:A9" si="0">B4&amp;C4</f>
        <v>210807 Escritório PROADI SUS</v>
      </c>
      <c r="B4" s="2">
        <v>210807</v>
      </c>
      <c r="C4" s="4" t="s">
        <v>96</v>
      </c>
      <c r="E4" s="4" t="s">
        <v>2</v>
      </c>
      <c r="F4" s="4" t="s">
        <v>2</v>
      </c>
    </row>
    <row r="5" spans="1:6" x14ac:dyDescent="0.25">
      <c r="A5" s="4" t="str">
        <f t="shared" si="0"/>
        <v>210809 PROADI SUS</v>
      </c>
      <c r="B5" s="2">
        <v>210809</v>
      </c>
      <c r="C5" s="4" t="s">
        <v>97</v>
      </c>
      <c r="E5" s="4" t="s">
        <v>98</v>
      </c>
      <c r="F5" s="4" t="s">
        <v>98</v>
      </c>
    </row>
    <row r="6" spans="1:6" x14ac:dyDescent="0.25">
      <c r="A6" s="4" t="str">
        <f t="shared" si="0"/>
        <v>490307 Sustentabilidade BP Mirante</v>
      </c>
      <c r="B6" s="3">
        <v>490307</v>
      </c>
      <c r="C6" s="6" t="s">
        <v>99</v>
      </c>
    </row>
    <row r="7" spans="1:6" x14ac:dyDescent="0.25">
      <c r="A7" s="4" t="str">
        <f t="shared" si="0"/>
        <v>390206 Sustentabilidade</v>
      </c>
      <c r="B7" s="3">
        <v>390206</v>
      </c>
      <c r="C7" s="6" t="s">
        <v>100</v>
      </c>
    </row>
    <row r="8" spans="1:6" x14ac:dyDescent="0.25">
      <c r="A8" s="4" t="str">
        <f t="shared" si="0"/>
        <v>210404 Filantropia</v>
      </c>
      <c r="B8" s="3">
        <v>210404</v>
      </c>
      <c r="C8" s="6" t="s">
        <v>101</v>
      </c>
    </row>
    <row r="9" spans="1:6" x14ac:dyDescent="0.25">
      <c r="A9" s="4" t="str">
        <f t="shared" si="0"/>
        <v>210813 Projetos Sociais BP</v>
      </c>
      <c r="B9" s="3">
        <v>210813</v>
      </c>
      <c r="C9" s="6" t="s">
        <v>102</v>
      </c>
    </row>
    <row r="10" spans="1:6" x14ac:dyDescent="0.25">
      <c r="A10" s="4" t="s">
        <v>103</v>
      </c>
      <c r="B10" s="2">
        <v>210833</v>
      </c>
      <c r="C10" s="4" t="s">
        <v>104</v>
      </c>
    </row>
    <row r="11" spans="1:6" x14ac:dyDescent="0.25">
      <c r="A11" s="4" t="s">
        <v>105</v>
      </c>
      <c r="B11" s="2">
        <v>210834</v>
      </c>
      <c r="C11" s="4" t="s">
        <v>106</v>
      </c>
    </row>
    <row r="12" spans="1:6" x14ac:dyDescent="0.25">
      <c r="A12" s="4" t="s">
        <v>107</v>
      </c>
      <c r="B12" s="2">
        <v>210835</v>
      </c>
      <c r="C12" s="4" t="s">
        <v>108</v>
      </c>
    </row>
    <row r="13" spans="1:6" x14ac:dyDescent="0.25">
      <c r="A13" s="4" t="s">
        <v>109</v>
      </c>
      <c r="B13" s="2">
        <v>210836</v>
      </c>
      <c r="C13" s="4" t="s">
        <v>110</v>
      </c>
    </row>
    <row r="14" spans="1:6" x14ac:dyDescent="0.25">
      <c r="A14" s="4" t="s">
        <v>111</v>
      </c>
      <c r="B14" s="2">
        <v>210837</v>
      </c>
      <c r="C14" s="4" t="s">
        <v>112</v>
      </c>
    </row>
    <row r="15" spans="1:6" x14ac:dyDescent="0.25">
      <c r="A15" s="4" t="s">
        <v>113</v>
      </c>
      <c r="B15" s="2">
        <v>210838</v>
      </c>
      <c r="C15" s="4" t="s">
        <v>114</v>
      </c>
    </row>
    <row r="16" spans="1:6" x14ac:dyDescent="0.25">
      <c r="A16" s="4" t="s">
        <v>115</v>
      </c>
      <c r="B16" s="2">
        <v>210839</v>
      </c>
      <c r="C16" s="4" t="s">
        <v>116</v>
      </c>
    </row>
    <row r="17" spans="1:3" x14ac:dyDescent="0.25">
      <c r="A17" s="4" t="s">
        <v>117</v>
      </c>
      <c r="B17" s="2">
        <v>210840</v>
      </c>
      <c r="C17" s="4" t="s">
        <v>118</v>
      </c>
    </row>
    <row r="18" spans="1:3" x14ac:dyDescent="0.25">
      <c r="A18" s="4" t="s">
        <v>119</v>
      </c>
      <c r="B18" s="2">
        <v>210841</v>
      </c>
      <c r="C18" s="4" t="s">
        <v>120</v>
      </c>
    </row>
    <row r="19" spans="1:3" x14ac:dyDescent="0.25">
      <c r="A19" s="4" t="s">
        <v>121</v>
      </c>
      <c r="B19" s="2">
        <v>210842</v>
      </c>
      <c r="C19" s="4" t="s">
        <v>122</v>
      </c>
    </row>
    <row r="20" spans="1:3" x14ac:dyDescent="0.25">
      <c r="A20" s="4" t="s">
        <v>123</v>
      </c>
      <c r="B20" s="2">
        <v>210843</v>
      </c>
      <c r="C20" s="4" t="s">
        <v>124</v>
      </c>
    </row>
    <row r="21" spans="1:3" x14ac:dyDescent="0.25">
      <c r="A21" s="4" t="s">
        <v>125</v>
      </c>
      <c r="B21" s="2">
        <v>210844</v>
      </c>
      <c r="C21" s="4" t="s">
        <v>126</v>
      </c>
    </row>
    <row r="22" spans="1:3" x14ac:dyDescent="0.25">
      <c r="A22" s="4" t="s">
        <v>127</v>
      </c>
      <c r="B22" s="2">
        <v>210845</v>
      </c>
      <c r="C22" s="4" t="s">
        <v>128</v>
      </c>
    </row>
    <row r="23" spans="1:3" x14ac:dyDescent="0.25">
      <c r="A23" s="4" t="s">
        <v>129</v>
      </c>
      <c r="B23" s="2">
        <v>210846</v>
      </c>
      <c r="C23" s="4" t="s">
        <v>130</v>
      </c>
    </row>
    <row r="24" spans="1:3" x14ac:dyDescent="0.25">
      <c r="A24" s="4" t="s">
        <v>131</v>
      </c>
      <c r="B24" s="2">
        <v>210847</v>
      </c>
      <c r="C24" s="4" t="s">
        <v>132</v>
      </c>
    </row>
    <row r="25" spans="1:3" x14ac:dyDescent="0.25">
      <c r="A25" s="4" t="s">
        <v>133</v>
      </c>
      <c r="B25" s="2">
        <v>210848</v>
      </c>
      <c r="C25" s="4" t="s">
        <v>134</v>
      </c>
    </row>
    <row r="26" spans="1:3" x14ac:dyDescent="0.25">
      <c r="A26" s="4" t="s">
        <v>135</v>
      </c>
      <c r="B26" s="2">
        <v>210849</v>
      </c>
      <c r="C26" s="4" t="s">
        <v>136</v>
      </c>
    </row>
    <row r="27" spans="1:3" x14ac:dyDescent="0.25">
      <c r="A27" s="4" t="s">
        <v>137</v>
      </c>
      <c r="B27" s="2">
        <v>210850</v>
      </c>
      <c r="C27" s="4" t="s">
        <v>138</v>
      </c>
    </row>
    <row r="28" spans="1:3" x14ac:dyDescent="0.25">
      <c r="A28" s="7" t="s">
        <v>139</v>
      </c>
      <c r="B28" s="82">
        <v>210851</v>
      </c>
      <c r="C28" s="4" t="s">
        <v>140</v>
      </c>
    </row>
    <row r="29" spans="1:3" x14ac:dyDescent="0.25">
      <c r="A29" s="4" t="s">
        <v>141</v>
      </c>
      <c r="B29" s="2">
        <v>210852</v>
      </c>
      <c r="C29" s="4" t="s">
        <v>142</v>
      </c>
    </row>
    <row r="30" spans="1:3" x14ac:dyDescent="0.25">
      <c r="A30" s="4" t="s">
        <v>143</v>
      </c>
      <c r="B30" s="2">
        <v>210853</v>
      </c>
      <c r="C30" s="4" t="s">
        <v>144</v>
      </c>
    </row>
    <row r="31" spans="1:3" x14ac:dyDescent="0.25">
      <c r="A31" s="4" t="s">
        <v>145</v>
      </c>
      <c r="B31" s="2">
        <v>210854</v>
      </c>
      <c r="C31" s="4" t="s">
        <v>146</v>
      </c>
    </row>
    <row r="32" spans="1:3" x14ac:dyDescent="0.25">
      <c r="A32" s="4" t="s">
        <v>147</v>
      </c>
      <c r="B32" s="2">
        <v>210855</v>
      </c>
      <c r="C32" s="4" t="s">
        <v>148</v>
      </c>
    </row>
    <row r="33" spans="1:7" x14ac:dyDescent="0.25">
      <c r="A33" s="4" t="s">
        <v>149</v>
      </c>
      <c r="B33" s="2">
        <v>210856</v>
      </c>
      <c r="C33" s="4" t="s">
        <v>150</v>
      </c>
    </row>
    <row r="34" spans="1:7" x14ac:dyDescent="0.25">
      <c r="A34" s="4" t="s">
        <v>4</v>
      </c>
      <c r="B34" s="2">
        <v>210863</v>
      </c>
      <c r="C34" s="4" t="s">
        <v>151</v>
      </c>
    </row>
    <row r="35" spans="1:7" x14ac:dyDescent="0.25">
      <c r="A35" s="4" t="s">
        <v>152</v>
      </c>
      <c r="B35" s="2">
        <v>210857</v>
      </c>
      <c r="C35" s="4" t="s">
        <v>153</v>
      </c>
    </row>
    <row r="36" spans="1:7" x14ac:dyDescent="0.25">
      <c r="A36" s="4" t="s">
        <v>4</v>
      </c>
      <c r="B36" s="2">
        <v>210863</v>
      </c>
      <c r="C36" s="4" t="s">
        <v>151</v>
      </c>
    </row>
    <row r="37" spans="1:7" x14ac:dyDescent="0.25">
      <c r="A37" s="5" t="s">
        <v>154</v>
      </c>
      <c r="B37" s="5" t="s">
        <v>155</v>
      </c>
      <c r="C37" s="5" t="s">
        <v>156</v>
      </c>
      <c r="D37" s="5" t="s">
        <v>157</v>
      </c>
      <c r="E37" s="5" t="s">
        <v>158</v>
      </c>
      <c r="F37" s="5" t="s">
        <v>159</v>
      </c>
      <c r="G37" s="5" t="s">
        <v>160</v>
      </c>
    </row>
    <row r="38" spans="1:7" ht="31.5" customHeight="1" x14ac:dyDescent="0.25">
      <c r="A38" s="83" t="s">
        <v>161</v>
      </c>
      <c r="B38" s="2" t="str">
        <f t="shared" ref="B38:B46" si="1">MID(A38,1,11)</f>
        <v xml:space="preserve">PR50050001 </v>
      </c>
      <c r="C38" s="4" t="str">
        <f>MID(A38,15,39)</f>
        <v>Material uso e consumo PROADI SUS</v>
      </c>
      <c r="D38" s="83" t="s">
        <v>162</v>
      </c>
      <c r="E38" s="87" t="str">
        <f t="shared" ref="E38:E46" si="2">MID(D38,1,6)</f>
        <v>263020</v>
      </c>
      <c r="F38" s="7" t="str">
        <f>MID(D38,8,49)</f>
        <v>Reembolso de Material de Uso e Consumo PROADI SUS</v>
      </c>
      <c r="G38" s="7" t="s">
        <v>163</v>
      </c>
    </row>
    <row r="39" spans="1:7" x14ac:dyDescent="0.25">
      <c r="A39" s="83" t="s">
        <v>164</v>
      </c>
      <c r="B39" s="2" t="str">
        <f t="shared" si="1"/>
        <v xml:space="preserve">PR50060002 </v>
      </c>
      <c r="C39" s="4" t="str">
        <f>MID(A39,15,39)</f>
        <v>Refeições e Lanches PROADI SUS</v>
      </c>
      <c r="D39" s="83" t="s">
        <v>165</v>
      </c>
      <c r="E39" s="87" t="str">
        <f t="shared" si="2"/>
        <v>263018</v>
      </c>
      <c r="F39" s="7" t="str">
        <f>MID(D39,8,43)</f>
        <v>Reembolso de Refeições e Lanches PROADI SUS</v>
      </c>
      <c r="G39" s="7" t="s">
        <v>166</v>
      </c>
    </row>
    <row r="40" spans="1:7" ht="31.5" customHeight="1" x14ac:dyDescent="0.25">
      <c r="A40" s="83" t="s">
        <v>167</v>
      </c>
      <c r="B40" s="2" t="str">
        <f t="shared" si="1"/>
        <v xml:space="preserve">PR50060003 </v>
      </c>
      <c r="C40" s="4" t="str">
        <f>MID(A40,15,39)</f>
        <v>Condução e Transporte PROADI SUS</v>
      </c>
      <c r="D40" s="83" t="s">
        <v>168</v>
      </c>
      <c r="E40" s="87" t="str">
        <f t="shared" si="2"/>
        <v>263962</v>
      </c>
      <c r="F40" s="7" t="str">
        <f>MID(D40,8,45)</f>
        <v>Reembolso de Condução e Transporte PROADI SUS</v>
      </c>
      <c r="G40" s="7" t="s">
        <v>169</v>
      </c>
    </row>
    <row r="41" spans="1:7" ht="31.5" customHeight="1" x14ac:dyDescent="0.25">
      <c r="A41" s="83" t="s">
        <v>170</v>
      </c>
      <c r="B41" s="2" t="str">
        <f t="shared" si="1"/>
        <v xml:space="preserve">PR50060004 </v>
      </c>
      <c r="C41" s="4" t="str">
        <f>MID(A41,15,39)</f>
        <v>Passagens Aereas PROADI SUS</v>
      </c>
      <c r="D41" s="83" t="s">
        <v>171</v>
      </c>
      <c r="E41" s="87" t="str">
        <f t="shared" si="2"/>
        <v>263021</v>
      </c>
      <c r="F41" s="7" t="str">
        <f>MID(D41,8,38)</f>
        <v>Reembolso de Passagem Aérea PROADI SUS</v>
      </c>
      <c r="G41" s="7" t="s">
        <v>172</v>
      </c>
    </row>
    <row r="42" spans="1:7" ht="31.5" customHeight="1" x14ac:dyDescent="0.25">
      <c r="A42" s="83" t="s">
        <v>173</v>
      </c>
      <c r="B42" s="2" t="str">
        <f t="shared" si="1"/>
        <v xml:space="preserve">PR50060005 </v>
      </c>
      <c r="C42" s="4" t="str">
        <f>MID(A42,15,39)</f>
        <v>Hospedagem PROADI SUS</v>
      </c>
      <c r="D42" s="83" t="s">
        <v>174</v>
      </c>
      <c r="E42" s="87" t="str">
        <f t="shared" si="2"/>
        <v>263022</v>
      </c>
      <c r="F42" s="7" t="str">
        <f>MID(D42,8,34)</f>
        <v>Reembolso de Hospedagem PROADI SUS</v>
      </c>
      <c r="G42" s="7" t="s">
        <v>175</v>
      </c>
    </row>
    <row r="43" spans="1:7" x14ac:dyDescent="0.25">
      <c r="A43" s="83" t="s">
        <v>176</v>
      </c>
      <c r="B43" s="2" t="str">
        <f t="shared" si="1"/>
        <v xml:space="preserve">PR50060006 </v>
      </c>
      <c r="C43" s="4" t="str">
        <f>MID(A43,15,49)</f>
        <v>Taxas de Viagens, Eventos e Congressos PROADI SUS</v>
      </c>
      <c r="D43" s="86" t="s">
        <v>177</v>
      </c>
      <c r="E43" s="87" t="str">
        <f t="shared" si="2"/>
        <v>263023</v>
      </c>
      <c r="F43" s="7" t="str">
        <f>MID(D43,8,45)</f>
        <v>Reembolso de Inscrições de Eventos PROADI SUS</v>
      </c>
      <c r="G43" s="7" t="s">
        <v>178</v>
      </c>
    </row>
    <row r="44" spans="1:7" x14ac:dyDescent="0.25">
      <c r="A44" s="83" t="s">
        <v>179</v>
      </c>
      <c r="B44" s="2" t="str">
        <f t="shared" si="1"/>
        <v xml:space="preserve">PR50090003 </v>
      </c>
      <c r="C44" s="4" t="str">
        <f>MID(A44,15,39)</f>
        <v>Custas de cartório PROADI SUS</v>
      </c>
      <c r="D44" s="83" t="s">
        <v>180</v>
      </c>
      <c r="E44" s="87" t="str">
        <f t="shared" si="2"/>
        <v>263017</v>
      </c>
      <c r="F44" s="7" t="str">
        <f>MID(D44,8,32)</f>
        <v>Reembolso de Cartório PROADI SUS</v>
      </c>
      <c r="G44" s="7" t="s">
        <v>181</v>
      </c>
    </row>
    <row r="45" spans="1:7" x14ac:dyDescent="0.25">
      <c r="A45" s="83" t="s">
        <v>182</v>
      </c>
      <c r="B45" s="2" t="str">
        <f t="shared" si="1"/>
        <v xml:space="preserve">PR50090005 </v>
      </c>
      <c r="C45" s="4" t="str">
        <f>MID(A45,15,39)</f>
        <v>Correios e Malotes PROADI SUS</v>
      </c>
      <c r="D45" s="83" t="s">
        <v>183</v>
      </c>
      <c r="E45" s="87" t="str">
        <f t="shared" si="2"/>
        <v>263016</v>
      </c>
      <c r="F45" s="7" t="str">
        <f>MID(D45,8,32)</f>
        <v>Reembolso de Correios PROADI SUS</v>
      </c>
      <c r="G45" s="7" t="s">
        <v>184</v>
      </c>
    </row>
    <row r="46" spans="1:7" ht="31.5" customHeight="1" x14ac:dyDescent="0.25">
      <c r="A46" s="83" t="s">
        <v>185</v>
      </c>
      <c r="B46" s="2" t="str">
        <f t="shared" si="1"/>
        <v xml:space="preserve">PR50090011 </v>
      </c>
      <c r="C46" s="4" t="str">
        <f>MID(A46,15,51)</f>
        <v>Revelações, Cópias, Impressões e Gráfica PROADI SUS</v>
      </c>
      <c r="D46" s="83" t="s">
        <v>186</v>
      </c>
      <c r="E46" s="87" t="str">
        <f t="shared" si="2"/>
        <v>263019</v>
      </c>
      <c r="F46" s="7" t="str">
        <f>MID(D46,8,52)</f>
        <v>Reembolso de Revelações, Cópias e Gráfica PROADI SUS</v>
      </c>
      <c r="G46" s="7" t="s">
        <v>187</v>
      </c>
    </row>
    <row r="55" spans="1:3" x14ac:dyDescent="0.25">
      <c r="A55" s="5" t="s">
        <v>92</v>
      </c>
      <c r="B55" s="5" t="s">
        <v>188</v>
      </c>
      <c r="C55" s="9" t="s">
        <v>189</v>
      </c>
    </row>
    <row r="56" spans="1:3" s="14" customFormat="1" x14ac:dyDescent="0.3">
      <c r="A56" s="4" t="s">
        <v>190</v>
      </c>
      <c r="B56" s="12">
        <v>1</v>
      </c>
      <c r="C56" s="13" t="s">
        <v>191</v>
      </c>
    </row>
    <row r="57" spans="1:3" s="14" customFormat="1" x14ac:dyDescent="0.3">
      <c r="A57" s="4" t="s">
        <v>19</v>
      </c>
      <c r="B57" s="12">
        <v>33</v>
      </c>
      <c r="C57" s="13" t="s">
        <v>192</v>
      </c>
    </row>
    <row r="58" spans="1:3" s="14" customFormat="1" x14ac:dyDescent="0.3">
      <c r="A58" s="4" t="s">
        <v>193</v>
      </c>
      <c r="B58" s="12">
        <v>237</v>
      </c>
      <c r="C58" s="13" t="s">
        <v>192</v>
      </c>
    </row>
    <row r="59" spans="1:3" s="14" customFormat="1" x14ac:dyDescent="0.3">
      <c r="A59" s="4" t="s">
        <v>194</v>
      </c>
      <c r="B59" s="12">
        <v>260</v>
      </c>
      <c r="C59" s="13" t="s">
        <v>195</v>
      </c>
    </row>
    <row r="60" spans="1:3" s="14" customFormat="1" x14ac:dyDescent="0.3">
      <c r="A60" s="4" t="s">
        <v>196</v>
      </c>
      <c r="B60" s="12">
        <v>341</v>
      </c>
      <c r="C60" s="13" t="s">
        <v>197</v>
      </c>
    </row>
    <row r="61" spans="1:3" s="14" customFormat="1" x14ac:dyDescent="0.3">
      <c r="A61" s="4" t="s">
        <v>198</v>
      </c>
      <c r="B61" s="12">
        <v>745</v>
      </c>
      <c r="C61" s="13" t="s">
        <v>199</v>
      </c>
    </row>
    <row r="62" spans="1:3" x14ac:dyDescent="0.3">
      <c r="A62" s="4" t="s">
        <v>200</v>
      </c>
      <c r="B62" s="12">
        <v>3</v>
      </c>
      <c r="C62" s="13" t="s">
        <v>201</v>
      </c>
    </row>
    <row r="63" spans="1:3" x14ac:dyDescent="0.3">
      <c r="A63" s="4" t="s">
        <v>202</v>
      </c>
      <c r="B63" s="12">
        <v>4</v>
      </c>
      <c r="C63" s="13" t="s">
        <v>203</v>
      </c>
    </row>
    <row r="64" spans="1:3" x14ac:dyDescent="0.3">
      <c r="A64" s="4" t="s">
        <v>204</v>
      </c>
      <c r="B64" s="12">
        <v>7</v>
      </c>
      <c r="C64" s="13" t="s">
        <v>205</v>
      </c>
    </row>
    <row r="65" spans="1:3" x14ac:dyDescent="0.3">
      <c r="A65" s="4" t="s">
        <v>206</v>
      </c>
      <c r="B65" s="12">
        <v>10</v>
      </c>
      <c r="C65" s="13" t="s">
        <v>207</v>
      </c>
    </row>
    <row r="66" spans="1:3" x14ac:dyDescent="0.3">
      <c r="A66" s="4" t="s">
        <v>208</v>
      </c>
      <c r="B66" s="12">
        <v>11</v>
      </c>
      <c r="C66" s="13" t="s">
        <v>209</v>
      </c>
    </row>
    <row r="67" spans="1:3" x14ac:dyDescent="0.3">
      <c r="A67" s="4" t="s">
        <v>210</v>
      </c>
      <c r="B67" s="12">
        <v>12</v>
      </c>
      <c r="C67" s="13" t="s">
        <v>211</v>
      </c>
    </row>
    <row r="68" spans="1:3" x14ac:dyDescent="0.3">
      <c r="A68" s="4" t="s">
        <v>212</v>
      </c>
      <c r="B68" s="12">
        <v>14</v>
      </c>
      <c r="C68" s="13" t="s">
        <v>213</v>
      </c>
    </row>
    <row r="69" spans="1:3" x14ac:dyDescent="0.3">
      <c r="A69" s="4" t="s">
        <v>214</v>
      </c>
      <c r="B69" s="12">
        <v>16</v>
      </c>
      <c r="C69" s="13" t="s">
        <v>215</v>
      </c>
    </row>
    <row r="70" spans="1:3" x14ac:dyDescent="0.3">
      <c r="A70" s="4" t="s">
        <v>216</v>
      </c>
      <c r="B70" s="12">
        <v>17</v>
      </c>
      <c r="C70" s="13" t="s">
        <v>217</v>
      </c>
    </row>
    <row r="71" spans="1:3" x14ac:dyDescent="0.3">
      <c r="A71" s="4" t="s">
        <v>218</v>
      </c>
      <c r="B71" s="12">
        <v>18</v>
      </c>
      <c r="C71" s="13" t="s">
        <v>219</v>
      </c>
    </row>
    <row r="72" spans="1:3" x14ac:dyDescent="0.3">
      <c r="A72" s="4" t="s">
        <v>220</v>
      </c>
      <c r="B72" s="12">
        <v>21</v>
      </c>
      <c r="C72" s="13" t="s">
        <v>221</v>
      </c>
    </row>
    <row r="73" spans="1:3" x14ac:dyDescent="0.3">
      <c r="A73" s="4" t="s">
        <v>222</v>
      </c>
      <c r="B73" s="12">
        <v>24</v>
      </c>
      <c r="C73" s="13" t="s">
        <v>223</v>
      </c>
    </row>
    <row r="74" spans="1:3" x14ac:dyDescent="0.3">
      <c r="A74" s="4" t="s">
        <v>224</v>
      </c>
      <c r="B74" s="12">
        <v>25</v>
      </c>
      <c r="C74" s="13" t="s">
        <v>225</v>
      </c>
    </row>
    <row r="75" spans="1:3" x14ac:dyDescent="0.3">
      <c r="A75" s="4" t="s">
        <v>226</v>
      </c>
      <c r="B75" s="12">
        <v>29</v>
      </c>
      <c r="C75" s="13" t="s">
        <v>227</v>
      </c>
    </row>
    <row r="76" spans="1:3" x14ac:dyDescent="0.3">
      <c r="A76" s="4" t="s">
        <v>228</v>
      </c>
      <c r="B76" s="12">
        <v>36</v>
      </c>
      <c r="C76" s="13" t="s">
        <v>229</v>
      </c>
    </row>
    <row r="77" spans="1:3" x14ac:dyDescent="0.3">
      <c r="A77" s="4" t="s">
        <v>230</v>
      </c>
      <c r="B77" s="12">
        <v>37</v>
      </c>
      <c r="C77" s="13" t="s">
        <v>231</v>
      </c>
    </row>
    <row r="78" spans="1:3" x14ac:dyDescent="0.3">
      <c r="A78" s="4" t="s">
        <v>232</v>
      </c>
      <c r="B78" s="12">
        <v>40</v>
      </c>
      <c r="C78" s="13" t="s">
        <v>233</v>
      </c>
    </row>
    <row r="79" spans="1:3" x14ac:dyDescent="0.3">
      <c r="A79" s="4" t="s">
        <v>234</v>
      </c>
      <c r="B79" s="12">
        <v>41</v>
      </c>
      <c r="C79" s="13" t="s">
        <v>235</v>
      </c>
    </row>
    <row r="80" spans="1:3" x14ac:dyDescent="0.3">
      <c r="A80" s="4" t="s">
        <v>236</v>
      </c>
      <c r="B80" s="12">
        <v>47</v>
      </c>
      <c r="C80" s="13" t="s">
        <v>237</v>
      </c>
    </row>
    <row r="81" spans="1:3" x14ac:dyDescent="0.3">
      <c r="A81" s="4" t="s">
        <v>238</v>
      </c>
      <c r="B81" s="12">
        <v>51</v>
      </c>
      <c r="C81" s="13" t="s">
        <v>239</v>
      </c>
    </row>
    <row r="82" spans="1:3" x14ac:dyDescent="0.3">
      <c r="A82" s="4" t="s">
        <v>240</v>
      </c>
      <c r="B82" s="12">
        <v>60</v>
      </c>
      <c r="C82" s="13" t="s">
        <v>241</v>
      </c>
    </row>
    <row r="83" spans="1:3" x14ac:dyDescent="0.3">
      <c r="A83" s="4" t="s">
        <v>242</v>
      </c>
      <c r="B83" s="12">
        <v>62</v>
      </c>
      <c r="C83" s="13" t="s">
        <v>243</v>
      </c>
    </row>
    <row r="84" spans="1:3" x14ac:dyDescent="0.3">
      <c r="A84" s="4" t="s">
        <v>244</v>
      </c>
      <c r="B84" s="12">
        <v>63</v>
      </c>
      <c r="C84" s="13" t="s">
        <v>245</v>
      </c>
    </row>
    <row r="85" spans="1:3" x14ac:dyDescent="0.3">
      <c r="A85" s="4" t="s">
        <v>246</v>
      </c>
      <c r="B85" s="12">
        <v>64</v>
      </c>
      <c r="C85" s="13" t="s">
        <v>247</v>
      </c>
    </row>
    <row r="86" spans="1:3" x14ac:dyDescent="0.3">
      <c r="A86" s="4" t="s">
        <v>248</v>
      </c>
      <c r="B86" s="12">
        <v>65</v>
      </c>
      <c r="C86" s="13" t="s">
        <v>249</v>
      </c>
    </row>
    <row r="87" spans="1:3" x14ac:dyDescent="0.3">
      <c r="A87" s="4" t="s">
        <v>250</v>
      </c>
      <c r="B87" s="12">
        <v>66</v>
      </c>
      <c r="C87" s="13" t="s">
        <v>251</v>
      </c>
    </row>
    <row r="88" spans="1:3" x14ac:dyDescent="0.3">
      <c r="A88" s="4" t="s">
        <v>252</v>
      </c>
      <c r="B88" s="12">
        <v>69</v>
      </c>
      <c r="C88" s="13" t="s">
        <v>253</v>
      </c>
    </row>
    <row r="89" spans="1:3" x14ac:dyDescent="0.3">
      <c r="A89" s="4" t="s">
        <v>254</v>
      </c>
      <c r="B89" s="12">
        <v>70</v>
      </c>
      <c r="C89" s="13" t="s">
        <v>255</v>
      </c>
    </row>
    <row r="90" spans="1:3" x14ac:dyDescent="0.3">
      <c r="A90" s="4" t="s">
        <v>256</v>
      </c>
      <c r="B90" s="12">
        <v>74</v>
      </c>
      <c r="C90" s="13" t="s">
        <v>257</v>
      </c>
    </row>
    <row r="91" spans="1:3" x14ac:dyDescent="0.3">
      <c r="A91" s="4" t="s">
        <v>258</v>
      </c>
      <c r="B91" s="12">
        <v>75</v>
      </c>
      <c r="C91" s="13" t="s">
        <v>259</v>
      </c>
    </row>
    <row r="92" spans="1:3" x14ac:dyDescent="0.3">
      <c r="A92" s="4" t="s">
        <v>260</v>
      </c>
      <c r="B92" s="12">
        <v>76</v>
      </c>
      <c r="C92" s="13" t="s">
        <v>261</v>
      </c>
    </row>
    <row r="93" spans="1:3" x14ac:dyDescent="0.3">
      <c r="A93" s="4" t="s">
        <v>262</v>
      </c>
      <c r="B93" s="12">
        <v>77</v>
      </c>
      <c r="C93" s="13" t="s">
        <v>263</v>
      </c>
    </row>
    <row r="94" spans="1:3" x14ac:dyDescent="0.3">
      <c r="A94" s="4" t="s">
        <v>264</v>
      </c>
      <c r="B94" s="12">
        <v>78</v>
      </c>
      <c r="C94" s="13" t="s">
        <v>265</v>
      </c>
    </row>
    <row r="95" spans="1:3" x14ac:dyDescent="0.3">
      <c r="A95" s="4" t="s">
        <v>266</v>
      </c>
      <c r="B95" s="12">
        <v>79</v>
      </c>
      <c r="C95" s="13" t="s">
        <v>267</v>
      </c>
    </row>
    <row r="96" spans="1:3" x14ac:dyDescent="0.3">
      <c r="A96" s="4" t="s">
        <v>268</v>
      </c>
      <c r="B96" s="12">
        <v>80</v>
      </c>
      <c r="C96" s="13" t="s">
        <v>269</v>
      </c>
    </row>
    <row r="97" spans="1:3" x14ac:dyDescent="0.3">
      <c r="A97" s="4" t="s">
        <v>270</v>
      </c>
      <c r="B97" s="12">
        <v>81</v>
      </c>
      <c r="C97" s="13" t="s">
        <v>271</v>
      </c>
    </row>
    <row r="98" spans="1:3" x14ac:dyDescent="0.3">
      <c r="A98" s="4" t="s">
        <v>272</v>
      </c>
      <c r="B98" s="12">
        <v>82</v>
      </c>
      <c r="C98" s="13" t="s">
        <v>273</v>
      </c>
    </row>
    <row r="99" spans="1:3" x14ac:dyDescent="0.3">
      <c r="A99" s="4" t="s">
        <v>274</v>
      </c>
      <c r="B99" s="12">
        <v>83</v>
      </c>
      <c r="C99" s="13" t="s">
        <v>275</v>
      </c>
    </row>
    <row r="100" spans="1:3" x14ac:dyDescent="0.3">
      <c r="A100" s="4" t="s">
        <v>276</v>
      </c>
      <c r="B100" s="12">
        <v>84</v>
      </c>
      <c r="C100" s="13" t="s">
        <v>277</v>
      </c>
    </row>
    <row r="101" spans="1:3" x14ac:dyDescent="0.3">
      <c r="A101" s="4" t="s">
        <v>278</v>
      </c>
      <c r="B101" s="12">
        <v>85</v>
      </c>
      <c r="C101" s="13" t="s">
        <v>279</v>
      </c>
    </row>
    <row r="102" spans="1:3" x14ac:dyDescent="0.3">
      <c r="A102" s="4" t="s">
        <v>280</v>
      </c>
      <c r="B102" s="12">
        <v>89</v>
      </c>
      <c r="C102" s="13" t="s">
        <v>281</v>
      </c>
    </row>
    <row r="103" spans="1:3" x14ac:dyDescent="0.3">
      <c r="A103" s="4" t="s">
        <v>282</v>
      </c>
      <c r="B103" s="12">
        <v>91</v>
      </c>
      <c r="C103" s="13" t="s">
        <v>283</v>
      </c>
    </row>
    <row r="104" spans="1:3" x14ac:dyDescent="0.3">
      <c r="A104" s="4" t="s">
        <v>284</v>
      </c>
      <c r="B104" s="12">
        <v>92</v>
      </c>
      <c r="C104" s="13" t="s">
        <v>285</v>
      </c>
    </row>
    <row r="105" spans="1:3" x14ac:dyDescent="0.3">
      <c r="A105" s="4" t="s">
        <v>286</v>
      </c>
      <c r="B105" s="12">
        <v>93</v>
      </c>
      <c r="C105" s="13" t="s">
        <v>287</v>
      </c>
    </row>
    <row r="106" spans="1:3" x14ac:dyDescent="0.3">
      <c r="A106" s="4" t="s">
        <v>288</v>
      </c>
      <c r="B106" s="12">
        <v>94</v>
      </c>
      <c r="C106" s="13" t="s">
        <v>289</v>
      </c>
    </row>
    <row r="107" spans="1:3" x14ac:dyDescent="0.3">
      <c r="A107" s="4" t="s">
        <v>290</v>
      </c>
      <c r="B107" s="12">
        <v>95</v>
      </c>
      <c r="C107" s="13" t="s">
        <v>291</v>
      </c>
    </row>
    <row r="108" spans="1:3" x14ac:dyDescent="0.3">
      <c r="A108" s="4" t="s">
        <v>292</v>
      </c>
      <c r="B108" s="12">
        <v>96</v>
      </c>
      <c r="C108" s="13" t="s">
        <v>293</v>
      </c>
    </row>
    <row r="109" spans="1:3" x14ac:dyDescent="0.3">
      <c r="A109" s="4" t="s">
        <v>294</v>
      </c>
      <c r="B109" s="12">
        <v>97</v>
      </c>
      <c r="C109" s="13" t="s">
        <v>295</v>
      </c>
    </row>
    <row r="110" spans="1:3" x14ac:dyDescent="0.3">
      <c r="A110" s="4" t="s">
        <v>296</v>
      </c>
      <c r="B110" s="12">
        <v>98</v>
      </c>
      <c r="C110" s="13" t="s">
        <v>297</v>
      </c>
    </row>
    <row r="111" spans="1:3" x14ac:dyDescent="0.3">
      <c r="A111" s="4" t="s">
        <v>298</v>
      </c>
      <c r="B111" s="12">
        <v>99</v>
      </c>
      <c r="C111" s="13" t="s">
        <v>299</v>
      </c>
    </row>
    <row r="112" spans="1:3" x14ac:dyDescent="0.3">
      <c r="A112" s="4" t="s">
        <v>300</v>
      </c>
      <c r="B112" s="12">
        <v>100</v>
      </c>
      <c r="C112" s="13" t="s">
        <v>301</v>
      </c>
    </row>
    <row r="113" spans="1:3" x14ac:dyDescent="0.3">
      <c r="A113" s="4" t="s">
        <v>302</v>
      </c>
      <c r="B113" s="12">
        <v>101</v>
      </c>
      <c r="C113" s="13" t="s">
        <v>303</v>
      </c>
    </row>
    <row r="114" spans="1:3" x14ac:dyDescent="0.3">
      <c r="A114" s="4" t="s">
        <v>304</v>
      </c>
      <c r="B114" s="12">
        <v>102</v>
      </c>
      <c r="C114" s="13" t="s">
        <v>305</v>
      </c>
    </row>
    <row r="115" spans="1:3" x14ac:dyDescent="0.3">
      <c r="A115" s="4" t="s">
        <v>306</v>
      </c>
      <c r="B115" s="12">
        <v>104</v>
      </c>
      <c r="C115" s="13" t="s">
        <v>307</v>
      </c>
    </row>
    <row r="116" spans="1:3" x14ac:dyDescent="0.3">
      <c r="A116" s="4" t="s">
        <v>308</v>
      </c>
      <c r="B116" s="12">
        <v>105</v>
      </c>
      <c r="C116" s="13" t="s">
        <v>309</v>
      </c>
    </row>
    <row r="117" spans="1:3" x14ac:dyDescent="0.3">
      <c r="A117" s="4" t="s">
        <v>310</v>
      </c>
      <c r="B117" s="12">
        <v>107</v>
      </c>
      <c r="C117" s="13" t="s">
        <v>311</v>
      </c>
    </row>
    <row r="118" spans="1:3" x14ac:dyDescent="0.3">
      <c r="A118" s="4" t="s">
        <v>312</v>
      </c>
      <c r="B118" s="12">
        <v>108</v>
      </c>
      <c r="C118" s="13" t="s">
        <v>313</v>
      </c>
    </row>
    <row r="119" spans="1:3" x14ac:dyDescent="0.3">
      <c r="A119" s="4" t="s">
        <v>314</v>
      </c>
      <c r="B119" s="12">
        <v>111</v>
      </c>
      <c r="C119" s="13" t="s">
        <v>315</v>
      </c>
    </row>
    <row r="120" spans="1:3" x14ac:dyDescent="0.3">
      <c r="A120" s="4" t="s">
        <v>316</v>
      </c>
      <c r="B120" s="12">
        <v>113</v>
      </c>
      <c r="C120" s="13" t="s">
        <v>317</v>
      </c>
    </row>
    <row r="121" spans="1:3" x14ac:dyDescent="0.3">
      <c r="A121" s="4" t="s">
        <v>318</v>
      </c>
      <c r="B121" s="12">
        <v>114</v>
      </c>
      <c r="C121" s="13" t="s">
        <v>319</v>
      </c>
    </row>
    <row r="122" spans="1:3" x14ac:dyDescent="0.3">
      <c r="A122" s="4" t="s">
        <v>320</v>
      </c>
      <c r="B122" s="12">
        <v>117</v>
      </c>
      <c r="C122" s="13" t="s">
        <v>321</v>
      </c>
    </row>
    <row r="123" spans="1:3" x14ac:dyDescent="0.3">
      <c r="A123" s="4" t="s">
        <v>322</v>
      </c>
      <c r="B123" s="12">
        <v>118</v>
      </c>
      <c r="C123" s="13" t="s">
        <v>323</v>
      </c>
    </row>
    <row r="124" spans="1:3" x14ac:dyDescent="0.3">
      <c r="A124" s="4" t="s">
        <v>324</v>
      </c>
      <c r="B124" s="12">
        <v>119</v>
      </c>
      <c r="C124" s="13" t="s">
        <v>325</v>
      </c>
    </row>
    <row r="125" spans="1:3" x14ac:dyDescent="0.3">
      <c r="A125" s="4" t="s">
        <v>326</v>
      </c>
      <c r="B125" s="12">
        <v>120</v>
      </c>
      <c r="C125" s="13" t="s">
        <v>327</v>
      </c>
    </row>
    <row r="126" spans="1:3" x14ac:dyDescent="0.3">
      <c r="A126" s="4" t="s">
        <v>328</v>
      </c>
      <c r="B126" s="12">
        <v>121</v>
      </c>
      <c r="C126" s="13" t="s">
        <v>329</v>
      </c>
    </row>
    <row r="127" spans="1:3" x14ac:dyDescent="0.3">
      <c r="A127" s="4" t="s">
        <v>328</v>
      </c>
      <c r="B127" s="12">
        <v>121</v>
      </c>
      <c r="C127" s="13" t="s">
        <v>329</v>
      </c>
    </row>
    <row r="128" spans="1:3" x14ac:dyDescent="0.3">
      <c r="A128" s="4" t="s">
        <v>330</v>
      </c>
      <c r="B128" s="12">
        <v>122</v>
      </c>
      <c r="C128" s="13" t="s">
        <v>331</v>
      </c>
    </row>
    <row r="129" spans="1:3" x14ac:dyDescent="0.3">
      <c r="A129" s="4" t="s">
        <v>332</v>
      </c>
      <c r="B129" s="12">
        <v>124</v>
      </c>
      <c r="C129" s="13" t="s">
        <v>333</v>
      </c>
    </row>
    <row r="130" spans="1:3" x14ac:dyDescent="0.3">
      <c r="A130" s="4" t="s">
        <v>334</v>
      </c>
      <c r="B130" s="12">
        <v>125</v>
      </c>
      <c r="C130" s="13" t="s">
        <v>335</v>
      </c>
    </row>
    <row r="131" spans="1:3" x14ac:dyDescent="0.3">
      <c r="A131" s="4" t="s">
        <v>336</v>
      </c>
      <c r="B131" s="12">
        <v>126</v>
      </c>
      <c r="C131" s="13" t="s">
        <v>337</v>
      </c>
    </row>
    <row r="132" spans="1:3" x14ac:dyDescent="0.3">
      <c r="A132" s="4" t="s">
        <v>338</v>
      </c>
      <c r="B132" s="12">
        <v>127</v>
      </c>
      <c r="C132" s="13" t="s">
        <v>339</v>
      </c>
    </row>
    <row r="133" spans="1:3" x14ac:dyDescent="0.3">
      <c r="A133" s="4" t="s">
        <v>340</v>
      </c>
      <c r="B133" s="12">
        <v>128</v>
      </c>
      <c r="C133" s="13" t="s">
        <v>341</v>
      </c>
    </row>
    <row r="134" spans="1:3" x14ac:dyDescent="0.3">
      <c r="A134" s="4" t="s">
        <v>342</v>
      </c>
      <c r="B134" s="12">
        <v>129</v>
      </c>
      <c r="C134" s="13" t="s">
        <v>343</v>
      </c>
    </row>
    <row r="135" spans="1:3" x14ac:dyDescent="0.3">
      <c r="A135" s="4" t="s">
        <v>344</v>
      </c>
      <c r="B135" s="12">
        <v>130</v>
      </c>
      <c r="C135" s="13" t="s">
        <v>345</v>
      </c>
    </row>
    <row r="136" spans="1:3" x14ac:dyDescent="0.3">
      <c r="A136" s="4" t="s">
        <v>346</v>
      </c>
      <c r="B136" s="12">
        <v>131</v>
      </c>
      <c r="C136" s="13" t="s">
        <v>347</v>
      </c>
    </row>
    <row r="137" spans="1:3" x14ac:dyDescent="0.3">
      <c r="A137" s="4" t="s">
        <v>348</v>
      </c>
      <c r="B137" s="12">
        <v>132</v>
      </c>
      <c r="C137" s="13" t="s">
        <v>349</v>
      </c>
    </row>
    <row r="138" spans="1:3" x14ac:dyDescent="0.3">
      <c r="A138" s="4" t="s">
        <v>350</v>
      </c>
      <c r="B138" s="12">
        <v>133</v>
      </c>
      <c r="C138" s="13" t="s">
        <v>351</v>
      </c>
    </row>
    <row r="139" spans="1:3" x14ac:dyDescent="0.3">
      <c r="A139" s="4" t="s">
        <v>352</v>
      </c>
      <c r="B139" s="12">
        <v>134</v>
      </c>
      <c r="C139" s="13" t="s">
        <v>353</v>
      </c>
    </row>
    <row r="140" spans="1:3" x14ac:dyDescent="0.3">
      <c r="A140" s="4" t="s">
        <v>354</v>
      </c>
      <c r="B140" s="12">
        <v>136</v>
      </c>
      <c r="C140" s="13" t="s">
        <v>355</v>
      </c>
    </row>
    <row r="141" spans="1:3" x14ac:dyDescent="0.3">
      <c r="A141" s="4" t="s">
        <v>356</v>
      </c>
      <c r="B141" s="12">
        <v>137</v>
      </c>
      <c r="C141" s="13" t="s">
        <v>357</v>
      </c>
    </row>
    <row r="142" spans="1:3" x14ac:dyDescent="0.3">
      <c r="A142" s="4" t="s">
        <v>358</v>
      </c>
      <c r="B142" s="12">
        <v>138</v>
      </c>
      <c r="C142" s="13" t="s">
        <v>359</v>
      </c>
    </row>
    <row r="143" spans="1:3" x14ac:dyDescent="0.3">
      <c r="A143" s="4" t="s">
        <v>360</v>
      </c>
      <c r="B143" s="12">
        <v>139</v>
      </c>
      <c r="C143" s="13" t="s">
        <v>361</v>
      </c>
    </row>
    <row r="144" spans="1:3" x14ac:dyDescent="0.3">
      <c r="A144" s="4" t="s">
        <v>362</v>
      </c>
      <c r="B144" s="12">
        <v>140</v>
      </c>
      <c r="C144" s="13" t="s">
        <v>363</v>
      </c>
    </row>
    <row r="145" spans="1:3" x14ac:dyDescent="0.3">
      <c r="A145" s="4" t="s">
        <v>364</v>
      </c>
      <c r="B145" s="12">
        <v>142</v>
      </c>
      <c r="C145" s="13" t="s">
        <v>365</v>
      </c>
    </row>
    <row r="146" spans="1:3" x14ac:dyDescent="0.3">
      <c r="A146" s="4" t="s">
        <v>366</v>
      </c>
      <c r="B146" s="12">
        <v>143</v>
      </c>
      <c r="C146" s="13" t="s">
        <v>367</v>
      </c>
    </row>
    <row r="147" spans="1:3" x14ac:dyDescent="0.3">
      <c r="A147" s="4" t="s">
        <v>368</v>
      </c>
      <c r="B147" s="12">
        <v>144</v>
      </c>
      <c r="C147" s="13" t="s">
        <v>369</v>
      </c>
    </row>
    <row r="148" spans="1:3" x14ac:dyDescent="0.3">
      <c r="A148" s="4" t="s">
        <v>370</v>
      </c>
      <c r="B148" s="12">
        <v>145</v>
      </c>
      <c r="C148" s="13" t="s">
        <v>371</v>
      </c>
    </row>
    <row r="149" spans="1:3" x14ac:dyDescent="0.3">
      <c r="A149" s="4" t="s">
        <v>372</v>
      </c>
      <c r="B149" s="12">
        <v>146</v>
      </c>
      <c r="C149" s="13" t="s">
        <v>373</v>
      </c>
    </row>
    <row r="150" spans="1:3" x14ac:dyDescent="0.3">
      <c r="A150" s="4" t="s">
        <v>374</v>
      </c>
      <c r="B150" s="12">
        <v>149</v>
      </c>
      <c r="C150" s="13" t="s">
        <v>375</v>
      </c>
    </row>
    <row r="151" spans="1:3" x14ac:dyDescent="0.3">
      <c r="A151" s="4" t="s">
        <v>376</v>
      </c>
      <c r="B151" s="12">
        <v>157</v>
      </c>
      <c r="C151" s="13" t="s">
        <v>377</v>
      </c>
    </row>
    <row r="152" spans="1:3" x14ac:dyDescent="0.3">
      <c r="A152" s="4" t="s">
        <v>378</v>
      </c>
      <c r="B152" s="12">
        <v>159</v>
      </c>
      <c r="C152" s="13" t="s">
        <v>379</v>
      </c>
    </row>
    <row r="153" spans="1:3" x14ac:dyDescent="0.3">
      <c r="A153" s="4" t="s">
        <v>380</v>
      </c>
      <c r="B153" s="12">
        <v>163</v>
      </c>
      <c r="C153" s="13" t="s">
        <v>381</v>
      </c>
    </row>
    <row r="154" spans="1:3" x14ac:dyDescent="0.3">
      <c r="A154" s="4" t="s">
        <v>382</v>
      </c>
      <c r="B154" s="12">
        <v>169</v>
      </c>
      <c r="C154" s="13" t="s">
        <v>383</v>
      </c>
    </row>
    <row r="155" spans="1:3" x14ac:dyDescent="0.3">
      <c r="A155" s="4" t="s">
        <v>384</v>
      </c>
      <c r="B155" s="12">
        <v>172</v>
      </c>
      <c r="C155" s="13" t="s">
        <v>385</v>
      </c>
    </row>
    <row r="156" spans="1:3" x14ac:dyDescent="0.3">
      <c r="A156" s="4" t="s">
        <v>386</v>
      </c>
      <c r="B156" s="12">
        <v>173</v>
      </c>
      <c r="C156" s="13" t="s">
        <v>387</v>
      </c>
    </row>
    <row r="157" spans="1:3" x14ac:dyDescent="0.3">
      <c r="A157" s="4" t="s">
        <v>388</v>
      </c>
      <c r="B157" s="12">
        <v>174</v>
      </c>
      <c r="C157" s="13" t="s">
        <v>389</v>
      </c>
    </row>
    <row r="158" spans="1:3" x14ac:dyDescent="0.3">
      <c r="A158" s="4" t="s">
        <v>390</v>
      </c>
      <c r="B158" s="12">
        <v>177</v>
      </c>
      <c r="C158" s="13" t="s">
        <v>391</v>
      </c>
    </row>
    <row r="159" spans="1:3" x14ac:dyDescent="0.3">
      <c r="A159" s="4" t="s">
        <v>392</v>
      </c>
      <c r="B159" s="12">
        <v>180</v>
      </c>
      <c r="C159" s="13" t="s">
        <v>393</v>
      </c>
    </row>
    <row r="160" spans="1:3" x14ac:dyDescent="0.3">
      <c r="A160" s="4" t="s">
        <v>394</v>
      </c>
      <c r="B160" s="12">
        <v>182</v>
      </c>
      <c r="C160" s="13" t="s">
        <v>395</v>
      </c>
    </row>
    <row r="161" spans="1:3" x14ac:dyDescent="0.3">
      <c r="A161" s="4" t="s">
        <v>396</v>
      </c>
      <c r="B161" s="12">
        <v>183</v>
      </c>
      <c r="C161" s="13" t="s">
        <v>397</v>
      </c>
    </row>
    <row r="162" spans="1:3" x14ac:dyDescent="0.3">
      <c r="A162" s="4" t="s">
        <v>398</v>
      </c>
      <c r="B162" s="12">
        <v>184</v>
      </c>
      <c r="C162" s="13" t="s">
        <v>399</v>
      </c>
    </row>
    <row r="163" spans="1:3" x14ac:dyDescent="0.3">
      <c r="A163" s="4" t="s">
        <v>400</v>
      </c>
      <c r="B163" s="12">
        <v>188</v>
      </c>
      <c r="C163" s="13" t="s">
        <v>401</v>
      </c>
    </row>
    <row r="164" spans="1:3" x14ac:dyDescent="0.3">
      <c r="A164" s="4" t="s">
        <v>402</v>
      </c>
      <c r="B164" s="12">
        <v>189</v>
      </c>
      <c r="C164" s="13" t="s">
        <v>403</v>
      </c>
    </row>
    <row r="165" spans="1:3" x14ac:dyDescent="0.3">
      <c r="A165" s="4" t="s">
        <v>404</v>
      </c>
      <c r="B165" s="12">
        <v>190</v>
      </c>
      <c r="C165" s="13" t="s">
        <v>405</v>
      </c>
    </row>
    <row r="166" spans="1:3" x14ac:dyDescent="0.3">
      <c r="A166" s="4" t="s">
        <v>406</v>
      </c>
      <c r="B166" s="12">
        <v>191</v>
      </c>
      <c r="C166" s="13" t="s">
        <v>407</v>
      </c>
    </row>
    <row r="167" spans="1:3" x14ac:dyDescent="0.3">
      <c r="A167" s="4" t="s">
        <v>408</v>
      </c>
      <c r="B167" s="12">
        <v>194</v>
      </c>
      <c r="C167" s="13" t="s">
        <v>409</v>
      </c>
    </row>
    <row r="168" spans="1:3" x14ac:dyDescent="0.3">
      <c r="A168" s="4" t="s">
        <v>410</v>
      </c>
      <c r="B168" s="12">
        <v>196</v>
      </c>
      <c r="C168" s="13" t="s">
        <v>411</v>
      </c>
    </row>
    <row r="169" spans="1:3" x14ac:dyDescent="0.3">
      <c r="A169" s="4" t="s">
        <v>412</v>
      </c>
      <c r="B169" s="12">
        <v>197</v>
      </c>
      <c r="C169" s="13" t="s">
        <v>413</v>
      </c>
    </row>
    <row r="170" spans="1:3" x14ac:dyDescent="0.3">
      <c r="A170" s="4" t="s">
        <v>414</v>
      </c>
      <c r="B170" s="12">
        <v>204</v>
      </c>
      <c r="C170" s="13" t="s">
        <v>415</v>
      </c>
    </row>
    <row r="171" spans="1:3" x14ac:dyDescent="0.3">
      <c r="A171" s="4" t="s">
        <v>416</v>
      </c>
      <c r="B171" s="12">
        <v>208</v>
      </c>
      <c r="C171" s="13" t="s">
        <v>417</v>
      </c>
    </row>
    <row r="172" spans="1:3" x14ac:dyDescent="0.3">
      <c r="A172" s="4" t="s">
        <v>418</v>
      </c>
      <c r="B172" s="12">
        <v>212</v>
      </c>
      <c r="C172" s="13" t="s">
        <v>419</v>
      </c>
    </row>
    <row r="173" spans="1:3" x14ac:dyDescent="0.3">
      <c r="A173" s="4" t="s">
        <v>420</v>
      </c>
      <c r="B173" s="12">
        <v>213</v>
      </c>
      <c r="C173" s="13" t="s">
        <v>421</v>
      </c>
    </row>
    <row r="174" spans="1:3" x14ac:dyDescent="0.3">
      <c r="A174" s="4" t="s">
        <v>422</v>
      </c>
      <c r="B174" s="12">
        <v>217</v>
      </c>
      <c r="C174" s="13" t="s">
        <v>423</v>
      </c>
    </row>
    <row r="175" spans="1:3" x14ac:dyDescent="0.3">
      <c r="A175" s="4" t="s">
        <v>424</v>
      </c>
      <c r="B175" s="12">
        <v>218</v>
      </c>
      <c r="C175" s="13" t="s">
        <v>425</v>
      </c>
    </row>
    <row r="176" spans="1:3" x14ac:dyDescent="0.3">
      <c r="A176" s="4" t="s">
        <v>426</v>
      </c>
      <c r="B176" s="12">
        <v>222</v>
      </c>
      <c r="C176" s="13" t="s">
        <v>427</v>
      </c>
    </row>
    <row r="177" spans="1:3" x14ac:dyDescent="0.3">
      <c r="A177" s="4" t="s">
        <v>428</v>
      </c>
      <c r="B177" s="12">
        <v>224</v>
      </c>
      <c r="C177" s="13" t="s">
        <v>429</v>
      </c>
    </row>
    <row r="178" spans="1:3" x14ac:dyDescent="0.3">
      <c r="A178" s="4" t="s">
        <v>430</v>
      </c>
      <c r="B178" s="12">
        <v>233</v>
      </c>
      <c r="C178" s="13" t="s">
        <v>431</v>
      </c>
    </row>
    <row r="179" spans="1:3" x14ac:dyDescent="0.3">
      <c r="A179" s="4" t="s">
        <v>432</v>
      </c>
      <c r="B179" s="12">
        <v>241</v>
      </c>
      <c r="C179" s="13" t="s">
        <v>433</v>
      </c>
    </row>
    <row r="180" spans="1:3" x14ac:dyDescent="0.3">
      <c r="A180" s="4" t="s">
        <v>434</v>
      </c>
      <c r="B180" s="12">
        <v>243</v>
      </c>
      <c r="C180" s="13" t="s">
        <v>435</v>
      </c>
    </row>
    <row r="181" spans="1:3" x14ac:dyDescent="0.3">
      <c r="A181" s="4" t="s">
        <v>436</v>
      </c>
      <c r="B181" s="12">
        <v>246</v>
      </c>
      <c r="C181" s="13" t="s">
        <v>437</v>
      </c>
    </row>
    <row r="182" spans="1:3" x14ac:dyDescent="0.3">
      <c r="A182" s="4" t="s">
        <v>436</v>
      </c>
      <c r="B182" s="12">
        <v>246</v>
      </c>
      <c r="C182" s="13" t="s">
        <v>437</v>
      </c>
    </row>
    <row r="183" spans="1:3" x14ac:dyDescent="0.3">
      <c r="A183" s="4" t="s">
        <v>438</v>
      </c>
      <c r="B183" s="12">
        <v>249</v>
      </c>
      <c r="C183" s="13" t="s">
        <v>439</v>
      </c>
    </row>
    <row r="184" spans="1:3" x14ac:dyDescent="0.3">
      <c r="A184" s="4" t="s">
        <v>440</v>
      </c>
      <c r="B184" s="12">
        <v>250</v>
      </c>
      <c r="C184" s="13" t="s">
        <v>441</v>
      </c>
    </row>
    <row r="185" spans="1:3" x14ac:dyDescent="0.3">
      <c r="A185" s="4" t="s">
        <v>442</v>
      </c>
      <c r="B185" s="12">
        <v>253</v>
      </c>
      <c r="C185" s="13" t="s">
        <v>443</v>
      </c>
    </row>
    <row r="186" spans="1:3" x14ac:dyDescent="0.3">
      <c r="A186" s="4" t="s">
        <v>444</v>
      </c>
      <c r="B186" s="12">
        <v>254</v>
      </c>
      <c r="C186" s="13" t="s">
        <v>445</v>
      </c>
    </row>
    <row r="187" spans="1:3" x14ac:dyDescent="0.3">
      <c r="A187" s="4" t="s">
        <v>446</v>
      </c>
      <c r="B187" s="12">
        <v>265</v>
      </c>
      <c r="C187" s="13" t="s">
        <v>447</v>
      </c>
    </row>
    <row r="188" spans="1:3" x14ac:dyDescent="0.3">
      <c r="A188" s="4" t="s">
        <v>448</v>
      </c>
      <c r="B188" s="12">
        <v>266</v>
      </c>
      <c r="C188" s="13" t="s">
        <v>449</v>
      </c>
    </row>
    <row r="189" spans="1:3" x14ac:dyDescent="0.3">
      <c r="A189" s="4" t="s">
        <v>450</v>
      </c>
      <c r="B189" s="12">
        <v>268</v>
      </c>
      <c r="C189" s="13" t="s">
        <v>451</v>
      </c>
    </row>
    <row r="190" spans="1:3" x14ac:dyDescent="0.3">
      <c r="A190" s="4" t="s">
        <v>452</v>
      </c>
      <c r="B190" s="12">
        <v>269</v>
      </c>
      <c r="C190" s="13" t="s">
        <v>453</v>
      </c>
    </row>
    <row r="191" spans="1:3" x14ac:dyDescent="0.3">
      <c r="A191" s="4" t="s">
        <v>454</v>
      </c>
      <c r="B191" s="12">
        <v>270</v>
      </c>
      <c r="C191" s="13" t="s">
        <v>455</v>
      </c>
    </row>
    <row r="192" spans="1:3" x14ac:dyDescent="0.3">
      <c r="A192" s="4" t="s">
        <v>456</v>
      </c>
      <c r="B192" s="12">
        <v>271</v>
      </c>
      <c r="C192" s="13" t="s">
        <v>457</v>
      </c>
    </row>
    <row r="193" spans="1:3" x14ac:dyDescent="0.3">
      <c r="A193" s="4" t="s">
        <v>458</v>
      </c>
      <c r="B193" s="12">
        <v>273</v>
      </c>
      <c r="C193" s="13" t="s">
        <v>459</v>
      </c>
    </row>
    <row r="194" spans="1:3" x14ac:dyDescent="0.3">
      <c r="A194" s="4" t="s">
        <v>460</v>
      </c>
      <c r="B194" s="12">
        <v>276</v>
      </c>
      <c r="C194" s="13" t="s">
        <v>461</v>
      </c>
    </row>
    <row r="195" spans="1:3" x14ac:dyDescent="0.3">
      <c r="A195" s="4" t="s">
        <v>462</v>
      </c>
      <c r="B195" s="12">
        <v>278</v>
      </c>
      <c r="C195" s="13" t="s">
        <v>463</v>
      </c>
    </row>
    <row r="196" spans="1:3" x14ac:dyDescent="0.3">
      <c r="A196" s="4" t="s">
        <v>464</v>
      </c>
      <c r="B196" s="12">
        <v>279</v>
      </c>
      <c r="C196" s="13" t="s">
        <v>465</v>
      </c>
    </row>
    <row r="197" spans="1:3" x14ac:dyDescent="0.3">
      <c r="A197" s="4" t="s">
        <v>466</v>
      </c>
      <c r="B197" s="12">
        <v>280</v>
      </c>
      <c r="C197" s="13" t="s">
        <v>467</v>
      </c>
    </row>
    <row r="198" spans="1:3" x14ac:dyDescent="0.3">
      <c r="A198" s="4" t="s">
        <v>468</v>
      </c>
      <c r="B198" s="12">
        <v>283</v>
      </c>
      <c r="C198" s="13" t="s">
        <v>469</v>
      </c>
    </row>
    <row r="199" spans="1:3" x14ac:dyDescent="0.3">
      <c r="A199" s="4" t="s">
        <v>470</v>
      </c>
      <c r="B199" s="12">
        <v>285</v>
      </c>
      <c r="C199" s="13" t="s">
        <v>471</v>
      </c>
    </row>
    <row r="200" spans="1:3" x14ac:dyDescent="0.3">
      <c r="A200" s="4" t="s">
        <v>472</v>
      </c>
      <c r="B200" s="12">
        <v>286</v>
      </c>
      <c r="C200" s="13" t="s">
        <v>473</v>
      </c>
    </row>
    <row r="201" spans="1:3" x14ac:dyDescent="0.3">
      <c r="A201" s="4" t="s">
        <v>474</v>
      </c>
      <c r="B201" s="12">
        <v>288</v>
      </c>
      <c r="C201" s="13" t="s">
        <v>475</v>
      </c>
    </row>
    <row r="202" spans="1:3" x14ac:dyDescent="0.3">
      <c r="A202" s="4" t="s">
        <v>476</v>
      </c>
      <c r="B202" s="12">
        <v>290</v>
      </c>
      <c r="C202" s="13" t="s">
        <v>477</v>
      </c>
    </row>
    <row r="203" spans="1:3" x14ac:dyDescent="0.3">
      <c r="A203" s="4" t="s">
        <v>478</v>
      </c>
      <c r="B203" s="12">
        <v>292</v>
      </c>
      <c r="C203" s="13" t="s">
        <v>479</v>
      </c>
    </row>
    <row r="204" spans="1:3" x14ac:dyDescent="0.3">
      <c r="A204" s="4" t="s">
        <v>480</v>
      </c>
      <c r="B204" s="12">
        <v>293</v>
      </c>
      <c r="C204" s="13" t="s">
        <v>481</v>
      </c>
    </row>
    <row r="205" spans="1:3" x14ac:dyDescent="0.3">
      <c r="A205" s="4" t="s">
        <v>482</v>
      </c>
      <c r="B205" s="12">
        <v>298</v>
      </c>
      <c r="C205" s="13" t="s">
        <v>483</v>
      </c>
    </row>
    <row r="206" spans="1:3" x14ac:dyDescent="0.3">
      <c r="A206" s="4" t="s">
        <v>484</v>
      </c>
      <c r="B206" s="12">
        <v>299</v>
      </c>
      <c r="C206" s="13" t="s">
        <v>485</v>
      </c>
    </row>
    <row r="207" spans="1:3" x14ac:dyDescent="0.3">
      <c r="A207" s="4" t="s">
        <v>486</v>
      </c>
      <c r="B207" s="12">
        <v>300</v>
      </c>
      <c r="C207" s="13" t="s">
        <v>487</v>
      </c>
    </row>
    <row r="208" spans="1:3" x14ac:dyDescent="0.3">
      <c r="A208" s="4" t="s">
        <v>488</v>
      </c>
      <c r="B208" s="12">
        <v>301</v>
      </c>
      <c r="C208" s="13" t="s">
        <v>489</v>
      </c>
    </row>
    <row r="209" spans="1:3" x14ac:dyDescent="0.3">
      <c r="A209" s="4" t="s">
        <v>490</v>
      </c>
      <c r="B209" s="12">
        <v>310</v>
      </c>
      <c r="C209" s="13" t="s">
        <v>491</v>
      </c>
    </row>
    <row r="210" spans="1:3" x14ac:dyDescent="0.3">
      <c r="A210" s="4" t="s">
        <v>492</v>
      </c>
      <c r="B210" s="12">
        <v>318</v>
      </c>
      <c r="C210" s="13" t="s">
        <v>493</v>
      </c>
    </row>
    <row r="211" spans="1:3" x14ac:dyDescent="0.3">
      <c r="A211" s="4" t="s">
        <v>494</v>
      </c>
      <c r="B211" s="12">
        <v>320</v>
      </c>
      <c r="C211" s="13" t="s">
        <v>495</v>
      </c>
    </row>
    <row r="212" spans="1:3" x14ac:dyDescent="0.3">
      <c r="A212" s="4" t="s">
        <v>496</v>
      </c>
      <c r="B212" s="12">
        <v>323</v>
      </c>
      <c r="C212" s="13" t="s">
        <v>497</v>
      </c>
    </row>
    <row r="213" spans="1:3" x14ac:dyDescent="0.3">
      <c r="A213" s="4" t="s">
        <v>498</v>
      </c>
      <c r="B213" s="12">
        <v>326</v>
      </c>
      <c r="C213" s="13" t="s">
        <v>499</v>
      </c>
    </row>
    <row r="214" spans="1:3" x14ac:dyDescent="0.3">
      <c r="A214" s="4" t="s">
        <v>500</v>
      </c>
      <c r="B214" s="12">
        <v>335</v>
      </c>
      <c r="C214" s="13" t="s">
        <v>501</v>
      </c>
    </row>
    <row r="215" spans="1:3" x14ac:dyDescent="0.3">
      <c r="A215" s="4" t="s">
        <v>502</v>
      </c>
      <c r="B215" s="12">
        <v>336</v>
      </c>
      <c r="C215" s="13" t="s">
        <v>503</v>
      </c>
    </row>
    <row r="216" spans="1:3" x14ac:dyDescent="0.3">
      <c r="A216" s="4" t="s">
        <v>504</v>
      </c>
      <c r="B216" s="12">
        <v>340</v>
      </c>
      <c r="C216" s="13" t="s">
        <v>505</v>
      </c>
    </row>
    <row r="217" spans="1:3" x14ac:dyDescent="0.3">
      <c r="A217" s="4" t="s">
        <v>506</v>
      </c>
      <c r="B217" s="12">
        <v>348</v>
      </c>
      <c r="C217" s="13" t="s">
        <v>507</v>
      </c>
    </row>
    <row r="218" spans="1:3" x14ac:dyDescent="0.3">
      <c r="A218" s="4" t="s">
        <v>508</v>
      </c>
      <c r="B218" s="12">
        <v>366</v>
      </c>
      <c r="C218" s="13" t="s">
        <v>509</v>
      </c>
    </row>
    <row r="219" spans="1:3" x14ac:dyDescent="0.3">
      <c r="A219" s="4" t="s">
        <v>510</v>
      </c>
      <c r="B219" s="12">
        <v>368</v>
      </c>
      <c r="C219" s="13" t="s">
        <v>511</v>
      </c>
    </row>
    <row r="220" spans="1:3" x14ac:dyDescent="0.3">
      <c r="A220" s="4" t="s">
        <v>512</v>
      </c>
      <c r="B220" s="12">
        <v>370</v>
      </c>
      <c r="C220" s="13" t="s">
        <v>513</v>
      </c>
    </row>
    <row r="221" spans="1:3" x14ac:dyDescent="0.3">
      <c r="A221" s="4" t="s">
        <v>514</v>
      </c>
      <c r="B221" s="12">
        <v>376</v>
      </c>
      <c r="C221" s="13" t="s">
        <v>515</v>
      </c>
    </row>
    <row r="222" spans="1:3" x14ac:dyDescent="0.3">
      <c r="A222" s="4" t="s">
        <v>516</v>
      </c>
      <c r="B222" s="12">
        <v>389</v>
      </c>
      <c r="C222" s="13" t="s">
        <v>517</v>
      </c>
    </row>
    <row r="223" spans="1:3" x14ac:dyDescent="0.3">
      <c r="A223" s="4" t="s">
        <v>518</v>
      </c>
      <c r="B223" s="12">
        <v>389</v>
      </c>
      <c r="C223" s="13" t="s">
        <v>519</v>
      </c>
    </row>
    <row r="224" spans="1:3" x14ac:dyDescent="0.3">
      <c r="A224" s="4" t="s">
        <v>520</v>
      </c>
      <c r="B224" s="12">
        <v>394</v>
      </c>
      <c r="C224" s="13" t="s">
        <v>521</v>
      </c>
    </row>
    <row r="225" spans="1:3" x14ac:dyDescent="0.3">
      <c r="A225" s="4" t="s">
        <v>522</v>
      </c>
      <c r="B225" s="12">
        <v>399</v>
      </c>
      <c r="C225" s="13" t="s">
        <v>523</v>
      </c>
    </row>
    <row r="226" spans="1:3" x14ac:dyDescent="0.3">
      <c r="A226" s="4" t="s">
        <v>524</v>
      </c>
      <c r="B226" s="12">
        <v>412</v>
      </c>
      <c r="C226" s="13" t="s">
        <v>525</v>
      </c>
    </row>
    <row r="227" spans="1:3" x14ac:dyDescent="0.3">
      <c r="A227" s="4" t="s">
        <v>526</v>
      </c>
      <c r="B227" s="12">
        <v>422</v>
      </c>
      <c r="C227" s="13" t="s">
        <v>527</v>
      </c>
    </row>
    <row r="228" spans="1:3" x14ac:dyDescent="0.3">
      <c r="A228" s="4" t="s">
        <v>528</v>
      </c>
      <c r="B228" s="12">
        <v>456</v>
      </c>
      <c r="C228" s="13" t="s">
        <v>529</v>
      </c>
    </row>
    <row r="229" spans="1:3" x14ac:dyDescent="0.3">
      <c r="A229" s="4" t="s">
        <v>530</v>
      </c>
      <c r="B229" s="12">
        <v>464</v>
      </c>
      <c r="C229" s="13" t="s">
        <v>531</v>
      </c>
    </row>
    <row r="230" spans="1:3" x14ac:dyDescent="0.3">
      <c r="A230" s="4" t="s">
        <v>532</v>
      </c>
      <c r="B230" s="12">
        <v>473</v>
      </c>
      <c r="C230" s="13" t="s">
        <v>533</v>
      </c>
    </row>
    <row r="231" spans="1:3" x14ac:dyDescent="0.3">
      <c r="A231" s="4" t="s">
        <v>534</v>
      </c>
      <c r="B231" s="12">
        <v>477</v>
      </c>
      <c r="C231" s="13" t="s">
        <v>535</v>
      </c>
    </row>
    <row r="232" spans="1:3" x14ac:dyDescent="0.3">
      <c r="A232" s="4" t="s">
        <v>536</v>
      </c>
      <c r="B232" s="12">
        <v>479</v>
      </c>
      <c r="C232" s="13" t="s">
        <v>537</v>
      </c>
    </row>
    <row r="233" spans="1:3" x14ac:dyDescent="0.3">
      <c r="A233" s="4" t="s">
        <v>538</v>
      </c>
      <c r="B233" s="12">
        <v>487</v>
      </c>
      <c r="C233" s="13" t="s">
        <v>539</v>
      </c>
    </row>
    <row r="234" spans="1:3" x14ac:dyDescent="0.3">
      <c r="A234" s="4" t="s">
        <v>540</v>
      </c>
      <c r="B234" s="12">
        <v>488</v>
      </c>
      <c r="C234" s="13" t="s">
        <v>541</v>
      </c>
    </row>
    <row r="235" spans="1:3" x14ac:dyDescent="0.3">
      <c r="A235" s="4" t="s">
        <v>542</v>
      </c>
      <c r="B235" s="12">
        <v>492</v>
      </c>
      <c r="C235" s="13" t="s">
        <v>543</v>
      </c>
    </row>
    <row r="236" spans="1:3" x14ac:dyDescent="0.3">
      <c r="A236" s="4" t="s">
        <v>544</v>
      </c>
      <c r="B236" s="12">
        <v>494</v>
      </c>
      <c r="C236" s="13" t="s">
        <v>545</v>
      </c>
    </row>
    <row r="237" spans="1:3" x14ac:dyDescent="0.3">
      <c r="A237" s="4" t="s">
        <v>546</v>
      </c>
      <c r="B237" s="12">
        <v>495</v>
      </c>
      <c r="C237" s="13" t="s">
        <v>547</v>
      </c>
    </row>
    <row r="238" spans="1:3" x14ac:dyDescent="0.3">
      <c r="A238" s="4" t="s">
        <v>548</v>
      </c>
      <c r="B238" s="12">
        <v>505</v>
      </c>
      <c r="C238" s="13" t="s">
        <v>549</v>
      </c>
    </row>
    <row r="239" spans="1:3" x14ac:dyDescent="0.3">
      <c r="A239" s="4" t="s">
        <v>550</v>
      </c>
      <c r="B239" s="12">
        <v>545</v>
      </c>
      <c r="C239" s="13" t="s">
        <v>551</v>
      </c>
    </row>
    <row r="240" spans="1:3" x14ac:dyDescent="0.3">
      <c r="A240" s="4" t="s">
        <v>552</v>
      </c>
      <c r="B240" s="12">
        <v>600</v>
      </c>
      <c r="C240" s="13" t="s">
        <v>553</v>
      </c>
    </row>
    <row r="241" spans="1:3" x14ac:dyDescent="0.3">
      <c r="A241" s="4" t="s">
        <v>554</v>
      </c>
      <c r="B241" s="12">
        <v>604</v>
      </c>
      <c r="C241" s="13" t="s">
        <v>555</v>
      </c>
    </row>
    <row r="242" spans="1:3" x14ac:dyDescent="0.3">
      <c r="A242" s="4" t="s">
        <v>556</v>
      </c>
      <c r="B242" s="12">
        <v>610</v>
      </c>
      <c r="C242" s="13" t="s">
        <v>557</v>
      </c>
    </row>
    <row r="243" spans="1:3" x14ac:dyDescent="0.3">
      <c r="A243" s="4" t="s">
        <v>558</v>
      </c>
      <c r="B243" s="12">
        <v>611</v>
      </c>
      <c r="C243" s="13" t="s">
        <v>559</v>
      </c>
    </row>
    <row r="244" spans="1:3" x14ac:dyDescent="0.3">
      <c r="A244" s="4" t="s">
        <v>560</v>
      </c>
      <c r="B244" s="12">
        <v>612</v>
      </c>
      <c r="C244" s="13" t="s">
        <v>561</v>
      </c>
    </row>
    <row r="245" spans="1:3" x14ac:dyDescent="0.3">
      <c r="A245" s="4" t="s">
        <v>562</v>
      </c>
      <c r="B245" s="12">
        <v>613</v>
      </c>
      <c r="C245" s="13" t="s">
        <v>563</v>
      </c>
    </row>
    <row r="246" spans="1:3" x14ac:dyDescent="0.3">
      <c r="A246" s="4" t="s">
        <v>562</v>
      </c>
      <c r="B246" s="12">
        <v>613</v>
      </c>
      <c r="C246" s="13" t="s">
        <v>563</v>
      </c>
    </row>
    <row r="247" spans="1:3" x14ac:dyDescent="0.3">
      <c r="A247" s="4" t="s">
        <v>564</v>
      </c>
      <c r="B247" s="12">
        <v>623</v>
      </c>
      <c r="C247" s="13" t="s">
        <v>565</v>
      </c>
    </row>
    <row r="248" spans="1:3" x14ac:dyDescent="0.3">
      <c r="A248" s="4" t="s">
        <v>566</v>
      </c>
      <c r="B248" s="12">
        <v>626</v>
      </c>
      <c r="C248" s="13" t="s">
        <v>567</v>
      </c>
    </row>
    <row r="249" spans="1:3" x14ac:dyDescent="0.3">
      <c r="A249" s="4" t="s">
        <v>568</v>
      </c>
      <c r="B249" s="12">
        <v>630</v>
      </c>
      <c r="C249" s="13" t="s">
        <v>569</v>
      </c>
    </row>
    <row r="250" spans="1:3" x14ac:dyDescent="0.3">
      <c r="A250" s="4" t="s">
        <v>570</v>
      </c>
      <c r="B250" s="12">
        <v>633</v>
      </c>
      <c r="C250" s="13" t="s">
        <v>571</v>
      </c>
    </row>
    <row r="251" spans="1:3" x14ac:dyDescent="0.3">
      <c r="A251" s="4" t="s">
        <v>572</v>
      </c>
      <c r="B251" s="12">
        <v>634</v>
      </c>
      <c r="C251" s="13" t="s">
        <v>573</v>
      </c>
    </row>
    <row r="252" spans="1:3" x14ac:dyDescent="0.3">
      <c r="A252" s="4" t="s">
        <v>574</v>
      </c>
      <c r="B252" s="12">
        <v>637</v>
      </c>
      <c r="C252" s="13" t="s">
        <v>575</v>
      </c>
    </row>
    <row r="253" spans="1:3" x14ac:dyDescent="0.3">
      <c r="A253" s="4" t="s">
        <v>576</v>
      </c>
      <c r="B253" s="12">
        <v>641</v>
      </c>
      <c r="C253" s="13" t="s">
        <v>577</v>
      </c>
    </row>
    <row r="254" spans="1:3" x14ac:dyDescent="0.3">
      <c r="A254" s="4" t="s">
        <v>578</v>
      </c>
      <c r="B254" s="12">
        <v>643</v>
      </c>
      <c r="C254" s="13" t="s">
        <v>579</v>
      </c>
    </row>
    <row r="255" spans="1:3" x14ac:dyDescent="0.3">
      <c r="A255" s="4" t="s">
        <v>580</v>
      </c>
      <c r="B255" s="12">
        <v>652</v>
      </c>
      <c r="C255" s="13" t="s">
        <v>581</v>
      </c>
    </row>
    <row r="256" spans="1:3" x14ac:dyDescent="0.3">
      <c r="A256" s="4" t="s">
        <v>582</v>
      </c>
      <c r="B256" s="12">
        <v>653</v>
      </c>
      <c r="C256" s="13" t="s">
        <v>583</v>
      </c>
    </row>
    <row r="257" spans="1:3" x14ac:dyDescent="0.3">
      <c r="A257" s="4" t="s">
        <v>584</v>
      </c>
      <c r="B257" s="12">
        <v>654</v>
      </c>
      <c r="C257" s="13" t="s">
        <v>585</v>
      </c>
    </row>
    <row r="258" spans="1:3" x14ac:dyDescent="0.3">
      <c r="A258" s="4" t="s">
        <v>586</v>
      </c>
      <c r="B258" s="12">
        <v>655</v>
      </c>
      <c r="C258" s="13" t="s">
        <v>587</v>
      </c>
    </row>
    <row r="259" spans="1:3" x14ac:dyDescent="0.3">
      <c r="A259" s="4" t="s">
        <v>588</v>
      </c>
      <c r="B259" s="12">
        <v>658</v>
      </c>
      <c r="C259" s="13" t="s">
        <v>589</v>
      </c>
    </row>
    <row r="260" spans="1:3" x14ac:dyDescent="0.3">
      <c r="A260" s="4" t="s">
        <v>590</v>
      </c>
      <c r="B260" s="12">
        <v>707</v>
      </c>
      <c r="C260" s="13" t="s">
        <v>591</v>
      </c>
    </row>
    <row r="261" spans="1:3" x14ac:dyDescent="0.3">
      <c r="A261" s="4" t="s">
        <v>590</v>
      </c>
      <c r="B261" s="12">
        <v>707</v>
      </c>
      <c r="C261" s="13" t="s">
        <v>591</v>
      </c>
    </row>
    <row r="262" spans="1:3" x14ac:dyDescent="0.3">
      <c r="A262" s="4" t="s">
        <v>592</v>
      </c>
      <c r="B262" s="12">
        <v>712</v>
      </c>
      <c r="C262" s="13" t="s">
        <v>593</v>
      </c>
    </row>
    <row r="263" spans="1:3" x14ac:dyDescent="0.3">
      <c r="A263" s="4" t="s">
        <v>594</v>
      </c>
      <c r="B263" s="12">
        <v>720</v>
      </c>
      <c r="C263" s="13" t="s">
        <v>595</v>
      </c>
    </row>
    <row r="264" spans="1:3" x14ac:dyDescent="0.3">
      <c r="A264" s="4" t="s">
        <v>596</v>
      </c>
      <c r="B264" s="12">
        <v>739</v>
      </c>
      <c r="C264" s="13" t="s">
        <v>597</v>
      </c>
    </row>
    <row r="265" spans="1:3" x14ac:dyDescent="0.3">
      <c r="A265" s="4" t="s">
        <v>598</v>
      </c>
      <c r="B265" s="12">
        <v>741</v>
      </c>
      <c r="C265" s="13" t="s">
        <v>599</v>
      </c>
    </row>
    <row r="266" spans="1:3" x14ac:dyDescent="0.3">
      <c r="A266" s="4" t="s">
        <v>600</v>
      </c>
      <c r="B266" s="12">
        <v>743</v>
      </c>
      <c r="C266" s="13" t="s">
        <v>601</v>
      </c>
    </row>
    <row r="267" spans="1:3" x14ac:dyDescent="0.3">
      <c r="A267" s="4" t="s">
        <v>602</v>
      </c>
      <c r="B267" s="12">
        <v>746</v>
      </c>
      <c r="C267" s="13" t="s">
        <v>603</v>
      </c>
    </row>
    <row r="268" spans="1:3" x14ac:dyDescent="0.3">
      <c r="A268" s="4" t="s">
        <v>604</v>
      </c>
      <c r="B268" s="12">
        <v>747</v>
      </c>
      <c r="C268" s="13" t="s">
        <v>605</v>
      </c>
    </row>
    <row r="269" spans="1:3" x14ac:dyDescent="0.3">
      <c r="A269" s="4" t="s">
        <v>606</v>
      </c>
      <c r="B269" s="12">
        <v>748</v>
      </c>
      <c r="C269" s="13" t="s">
        <v>607</v>
      </c>
    </row>
    <row r="270" spans="1:3" x14ac:dyDescent="0.3">
      <c r="A270" s="4" t="s">
        <v>606</v>
      </c>
      <c r="B270" s="12">
        <v>748</v>
      </c>
      <c r="C270" s="13" t="s">
        <v>607</v>
      </c>
    </row>
    <row r="271" spans="1:3" x14ac:dyDescent="0.3">
      <c r="A271" s="4" t="s">
        <v>608</v>
      </c>
      <c r="B271" s="12">
        <v>751</v>
      </c>
      <c r="C271" s="13" t="s">
        <v>609</v>
      </c>
    </row>
    <row r="272" spans="1:3" x14ac:dyDescent="0.3">
      <c r="A272" s="4" t="s">
        <v>610</v>
      </c>
      <c r="B272" s="12">
        <v>752</v>
      </c>
      <c r="C272" s="13" t="s">
        <v>611</v>
      </c>
    </row>
    <row r="273" spans="1:6" x14ac:dyDescent="0.3">
      <c r="A273" s="4" t="s">
        <v>612</v>
      </c>
      <c r="B273" s="12">
        <v>753</v>
      </c>
      <c r="C273" s="13" t="s">
        <v>613</v>
      </c>
    </row>
    <row r="274" spans="1:6" x14ac:dyDescent="0.3">
      <c r="A274" s="4" t="s">
        <v>614</v>
      </c>
      <c r="B274" s="12">
        <v>754</v>
      </c>
      <c r="C274" s="13" t="s">
        <v>615</v>
      </c>
    </row>
    <row r="275" spans="1:6" x14ac:dyDescent="0.3">
      <c r="A275" s="4" t="s">
        <v>616</v>
      </c>
      <c r="B275" s="12">
        <v>755</v>
      </c>
      <c r="C275" s="13" t="s">
        <v>617</v>
      </c>
    </row>
    <row r="276" spans="1:6" x14ac:dyDescent="0.3">
      <c r="A276" s="4" t="s">
        <v>618</v>
      </c>
      <c r="B276" s="12">
        <v>756</v>
      </c>
      <c r="C276" s="13" t="s">
        <v>619</v>
      </c>
    </row>
    <row r="277" spans="1:6" x14ac:dyDescent="0.3">
      <c r="A277" s="4" t="s">
        <v>620</v>
      </c>
      <c r="B277" s="12">
        <v>757</v>
      </c>
      <c r="C277" s="13" t="s">
        <v>621</v>
      </c>
    </row>
    <row r="278" spans="1:6" x14ac:dyDescent="0.3">
      <c r="A278" s="4" t="s">
        <v>622</v>
      </c>
      <c r="B278" s="12" t="s">
        <v>623</v>
      </c>
      <c r="C278" s="13" t="s">
        <v>624</v>
      </c>
    </row>
    <row r="279" spans="1:6" x14ac:dyDescent="0.3">
      <c r="A279" s="4" t="s">
        <v>625</v>
      </c>
      <c r="B279" s="12" t="s">
        <v>626</v>
      </c>
      <c r="C279" s="13" t="s">
        <v>627</v>
      </c>
    </row>
    <row r="280" spans="1:6" x14ac:dyDescent="0.3">
      <c r="A280" s="4" t="s">
        <v>628</v>
      </c>
      <c r="B280" s="12" t="s">
        <v>629</v>
      </c>
      <c r="C280" s="13" t="s">
        <v>630</v>
      </c>
    </row>
    <row r="281" spans="1:6" x14ac:dyDescent="0.3">
      <c r="A281" s="4" t="s">
        <v>631</v>
      </c>
      <c r="B281" s="12" t="s">
        <v>632</v>
      </c>
      <c r="C281" s="13" t="s">
        <v>633</v>
      </c>
    </row>
    <row r="282" spans="1:6" x14ac:dyDescent="0.3">
      <c r="A282" s="4" t="s">
        <v>634</v>
      </c>
      <c r="B282" s="12" t="s">
        <v>635</v>
      </c>
      <c r="C282" s="13" t="s">
        <v>636</v>
      </c>
    </row>
    <row r="283" spans="1:6" x14ac:dyDescent="0.3">
      <c r="A283" s="4" t="s">
        <v>637</v>
      </c>
      <c r="B283" s="12" t="s">
        <v>638</v>
      </c>
      <c r="C283" s="13" t="s">
        <v>639</v>
      </c>
    </row>
    <row r="284" spans="1:6" x14ac:dyDescent="0.3">
      <c r="A284" s="4" t="s">
        <v>640</v>
      </c>
      <c r="B284" s="12" t="s">
        <v>641</v>
      </c>
      <c r="C284" s="13" t="s">
        <v>642</v>
      </c>
    </row>
    <row r="285" spans="1:6" x14ac:dyDescent="0.25">
      <c r="A285" s="11" t="s">
        <v>643</v>
      </c>
      <c r="B285" s="11"/>
      <c r="C285" s="11"/>
      <c r="D285" s="11"/>
      <c r="E285" s="11"/>
      <c r="F285" s="11"/>
    </row>
  </sheetData>
  <autoFilter ref="A37:C46" xr:uid="{00000000-0009-0000-0000-000001000000}">
    <sortState xmlns:xlrd2="http://schemas.microsoft.com/office/spreadsheetml/2017/richdata2" ref="A38:C46">
      <sortCondition ref="A37:A46"/>
    </sortState>
  </autoFilter>
  <conditionalFormatting sqref="B6">
    <cfRule type="duplicateValues" dxfId="3" priority="1"/>
    <cfRule type="duplicateValues" dxfId="2" priority="2"/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6">
    <pageSetUpPr fitToPage="1"/>
  </sheetPr>
  <dimension ref="B2:BE98"/>
  <sheetViews>
    <sheetView showGridLines="0" topLeftCell="A13" zoomScale="90" zoomScaleNormal="90" zoomScaleSheetLayoutView="100" workbookViewId="0">
      <selection activeCell="D92" sqref="D92:O93"/>
    </sheetView>
  </sheetViews>
  <sheetFormatPr defaultColWidth="8.88671875" defaultRowHeight="13.95" customHeight="1" x14ac:dyDescent="0.25"/>
  <cols>
    <col min="1" max="1" width="3.6640625" style="15" customWidth="1"/>
    <col min="2" max="6" width="2.109375" style="15" customWidth="1"/>
    <col min="7" max="11" width="2" style="15" customWidth="1"/>
    <col min="12" max="16" width="5.33203125" style="15" customWidth="1"/>
    <col min="17" max="20" width="1.88671875" style="15" customWidth="1"/>
    <col min="21" max="21" width="8" style="15" customWidth="1"/>
    <col min="22" max="25" width="2.6640625" style="15" customWidth="1"/>
    <col min="26" max="26" width="5.88671875" style="15" customWidth="1"/>
    <col min="27" max="30" width="2.6640625" style="15" customWidth="1"/>
    <col min="31" max="31" width="2.109375" style="15" customWidth="1"/>
    <col min="32" max="32" width="3.109375" style="15" customWidth="1"/>
    <col min="33" max="34" width="2.6640625" style="15" customWidth="1"/>
    <col min="35" max="35" width="10" style="15" customWidth="1"/>
    <col min="36" max="36" width="1.6640625" style="15" customWidth="1"/>
    <col min="37" max="37" width="2.6640625" style="15" customWidth="1"/>
    <col min="38" max="38" width="2" style="15" customWidth="1"/>
    <col min="39" max="39" width="2.33203125" style="15" customWidth="1"/>
    <col min="40" max="40" width="1.5546875" style="15" customWidth="1"/>
    <col min="41" max="43" width="10.44140625" style="15" customWidth="1"/>
    <col min="44" max="44" width="4.44140625" style="15" customWidth="1"/>
    <col min="45" max="45" width="4.5546875" style="15" customWidth="1"/>
    <col min="46" max="46" width="3.88671875" style="15" customWidth="1"/>
    <col min="47" max="53" width="1.5546875" style="15" customWidth="1"/>
    <col min="54" max="54" width="4.109375" style="15" customWidth="1"/>
    <col min="55" max="55" width="10" style="68" bestFit="1" customWidth="1"/>
    <col min="56" max="56" width="2.6640625" style="15" customWidth="1"/>
    <col min="57" max="57" width="15.88671875" style="15" customWidth="1"/>
    <col min="58" max="68" width="2.6640625" style="15" customWidth="1"/>
    <col min="69" max="80" width="8.88671875" style="15" customWidth="1"/>
    <col min="81" max="16384" width="8.88671875" style="15"/>
  </cols>
  <sheetData>
    <row r="2" spans="2:53" ht="9.75" customHeight="1" x14ac:dyDescent="0.25">
      <c r="B2" s="176" t="s">
        <v>0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61"/>
    </row>
    <row r="3" spans="2:53" ht="54.75" customHeight="1" x14ac:dyDescent="0.25">
      <c r="B3" s="167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68"/>
    </row>
    <row r="4" spans="2:53" ht="7.5" customHeight="1" x14ac:dyDescent="0.25">
      <c r="B4" s="177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16"/>
      <c r="AZ4" s="16"/>
      <c r="BA4" s="16"/>
    </row>
    <row r="5" spans="2:53" ht="8.25" customHeight="1" x14ac:dyDescent="0.25">
      <c r="B5" s="105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7"/>
      <c r="AZ5" s="17"/>
      <c r="BA5" s="18"/>
    </row>
    <row r="6" spans="2:53" ht="23.25" customHeight="1" x14ac:dyDescent="0.25">
      <c r="B6" s="108" t="s">
        <v>1</v>
      </c>
      <c r="C6" s="103"/>
      <c r="D6" s="103"/>
      <c r="E6" s="103"/>
      <c r="F6" s="103"/>
      <c r="G6" s="16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78" t="s">
        <v>644</v>
      </c>
      <c r="AA6" s="163"/>
      <c r="AB6" s="103"/>
      <c r="AC6" s="103"/>
      <c r="AD6" s="103"/>
      <c r="AE6" s="103"/>
      <c r="AF6" s="103"/>
      <c r="AG6" s="103"/>
      <c r="AH6" s="103"/>
      <c r="AI6" s="19"/>
      <c r="AJ6" s="179" t="s">
        <v>3</v>
      </c>
      <c r="AK6" s="103"/>
      <c r="AL6" s="103"/>
      <c r="AM6" s="103"/>
      <c r="AN6" s="155" t="s">
        <v>645</v>
      </c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20"/>
    </row>
    <row r="7" spans="2:53" ht="8.25" customHeight="1" x14ac:dyDescent="0.25">
      <c r="B7" s="59"/>
      <c r="C7" s="54"/>
      <c r="D7" s="54"/>
      <c r="E7" s="54"/>
      <c r="F7" s="54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8"/>
      <c r="AA7" s="58"/>
      <c r="AB7" s="58"/>
      <c r="AC7" s="58"/>
      <c r="AD7" s="58"/>
      <c r="AE7" s="58"/>
      <c r="AF7" s="58"/>
      <c r="AG7" s="58"/>
      <c r="AH7" s="58"/>
      <c r="AI7" s="19"/>
      <c r="AJ7" s="62"/>
      <c r="AK7" s="62"/>
      <c r="AL7" s="62"/>
      <c r="AM7" s="62"/>
      <c r="BA7" s="20"/>
    </row>
    <row r="8" spans="2:53" ht="23.25" customHeight="1" x14ac:dyDescent="0.25">
      <c r="B8" s="108" t="s">
        <v>5</v>
      </c>
      <c r="C8" s="103"/>
      <c r="D8" s="103"/>
      <c r="E8" s="103"/>
      <c r="F8" s="103"/>
      <c r="G8" s="154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62"/>
      <c r="BA8" s="20"/>
    </row>
    <row r="9" spans="2:53" ht="8.25" customHeight="1" x14ac:dyDescent="0.25">
      <c r="B9" s="59"/>
      <c r="C9" s="54"/>
      <c r="D9" s="54"/>
      <c r="E9" s="54"/>
      <c r="F9" s="54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8"/>
      <c r="AA9" s="58"/>
      <c r="AB9" s="58"/>
      <c r="AC9" s="58"/>
      <c r="AD9" s="58"/>
      <c r="AE9" s="58"/>
      <c r="AF9" s="58"/>
      <c r="AG9" s="58"/>
      <c r="AH9" s="58"/>
      <c r="AI9" s="19"/>
      <c r="AJ9" s="62"/>
      <c r="AK9" s="62"/>
      <c r="AL9" s="62"/>
      <c r="AM9" s="62"/>
      <c r="BA9" s="20"/>
    </row>
    <row r="10" spans="2:53" ht="22.5" customHeight="1" x14ac:dyDescent="0.25">
      <c r="B10" s="63" t="s">
        <v>6</v>
      </c>
      <c r="D10" s="8"/>
      <c r="E10" s="8"/>
      <c r="F10" s="8"/>
      <c r="G10" s="138"/>
      <c r="H10" s="103"/>
      <c r="I10" s="103"/>
      <c r="J10" s="103"/>
      <c r="K10" s="103"/>
      <c r="L10" s="103"/>
      <c r="M10" s="103"/>
      <c r="N10" s="58" t="s">
        <v>646</v>
      </c>
      <c r="O10" s="138"/>
      <c r="P10" s="103"/>
      <c r="Q10" s="103"/>
      <c r="R10" s="103"/>
      <c r="S10" s="103"/>
      <c r="T10" s="103"/>
      <c r="W10" s="21"/>
      <c r="X10" s="21"/>
      <c r="Y10" s="21"/>
      <c r="Z10" s="21"/>
      <c r="AA10" s="21"/>
      <c r="AB10" s="21"/>
      <c r="AC10" s="21"/>
      <c r="AD10" s="21"/>
      <c r="AG10" s="179" t="s">
        <v>8</v>
      </c>
      <c r="AH10" s="103"/>
      <c r="AI10" s="103"/>
      <c r="AJ10" s="103"/>
      <c r="AK10" s="103"/>
      <c r="AL10" s="103"/>
      <c r="AM10" s="103"/>
      <c r="AN10" s="138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27"/>
    </row>
    <row r="11" spans="2:53" ht="15" customHeight="1" x14ac:dyDescent="0.25">
      <c r="B11" s="26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21"/>
      <c r="P11" s="28"/>
      <c r="V11" s="29"/>
      <c r="W11" s="29"/>
      <c r="X11" s="29"/>
      <c r="Y11" s="29"/>
      <c r="Z11" s="29"/>
      <c r="AA11" s="29"/>
      <c r="AB11" s="29"/>
      <c r="AC11" s="29"/>
      <c r="AD11" s="29"/>
      <c r="AY11" s="21"/>
      <c r="AZ11" s="21"/>
      <c r="BA11" s="27"/>
    </row>
    <row r="12" spans="2:53" ht="15" customHeight="1" x14ac:dyDescent="0.25">
      <c r="B12" s="63" t="s">
        <v>9</v>
      </c>
      <c r="C12" s="58"/>
      <c r="D12" s="54"/>
      <c r="E12" s="54"/>
      <c r="F12" s="54"/>
      <c r="G12" s="54"/>
      <c r="H12" s="163" t="s">
        <v>647</v>
      </c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28"/>
      <c r="V12" s="28"/>
      <c r="W12" s="28"/>
      <c r="X12" s="28"/>
      <c r="Y12" s="28"/>
      <c r="Z12" s="28"/>
      <c r="AA12" s="29"/>
      <c r="AB12" s="29"/>
      <c r="AC12" s="29"/>
      <c r="AD12" s="29"/>
      <c r="AE12" s="28" t="s">
        <v>11</v>
      </c>
      <c r="AF12" s="28"/>
      <c r="AG12" s="28"/>
      <c r="AH12" s="28"/>
      <c r="AI12" s="28"/>
      <c r="AJ12" s="28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1"/>
      <c r="AZ12" s="21"/>
      <c r="BA12" s="27"/>
    </row>
    <row r="13" spans="2:53" ht="15" customHeight="1" x14ac:dyDescent="0.25">
      <c r="B13" s="26"/>
      <c r="C13" s="58"/>
      <c r="D13" s="54"/>
      <c r="E13" s="54"/>
      <c r="F13" s="54"/>
      <c r="G13" s="54"/>
      <c r="H13" s="8"/>
      <c r="I13" s="21"/>
      <c r="J13" s="21"/>
      <c r="K13" s="21"/>
      <c r="L13" s="54"/>
      <c r="M13" s="8"/>
      <c r="N13" s="21"/>
      <c r="O13" s="21"/>
      <c r="P13" s="21"/>
      <c r="Q13" s="21"/>
      <c r="R13" s="21"/>
      <c r="AF13" s="28"/>
      <c r="AG13" s="28"/>
      <c r="AH13" s="28"/>
      <c r="AI13" s="28"/>
      <c r="AJ13" s="28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1"/>
      <c r="AZ13" s="21"/>
      <c r="BA13" s="27"/>
    </row>
    <row r="14" spans="2:53" ht="15" customHeight="1" x14ac:dyDescent="0.25">
      <c r="B14" s="26"/>
      <c r="C14" s="58"/>
      <c r="D14" s="54"/>
      <c r="E14" s="54"/>
      <c r="F14" s="54"/>
      <c r="G14" s="54"/>
      <c r="H14" s="8"/>
      <c r="I14" s="21"/>
      <c r="J14" s="21"/>
      <c r="K14" s="21"/>
      <c r="L14" s="54"/>
      <c r="M14" s="8"/>
      <c r="N14" s="21"/>
      <c r="O14" s="21"/>
      <c r="P14" s="21"/>
      <c r="Q14" s="21"/>
      <c r="R14" s="21"/>
      <c r="AF14" s="28"/>
      <c r="AG14" s="28"/>
      <c r="AH14" s="28"/>
      <c r="AI14" s="28"/>
      <c r="AJ14" s="28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1"/>
      <c r="AZ14" s="21"/>
      <c r="BA14" s="27"/>
    </row>
    <row r="15" spans="2:53" ht="15" customHeight="1" x14ac:dyDescent="0.25">
      <c r="B15" s="26"/>
      <c r="C15" s="29"/>
      <c r="D15" s="8" t="s">
        <v>12</v>
      </c>
      <c r="J15" s="8" t="s">
        <v>13</v>
      </c>
      <c r="R15" s="58"/>
      <c r="T15" s="54" t="s">
        <v>14</v>
      </c>
      <c r="AF15" s="29"/>
      <c r="AH15" s="54"/>
      <c r="AI15" s="54" t="s">
        <v>15</v>
      </c>
      <c r="AJ15" s="54"/>
      <c r="AK15" s="54"/>
      <c r="AL15" s="54"/>
      <c r="AM15" s="21"/>
      <c r="AN15" s="58"/>
      <c r="AO15" s="58"/>
      <c r="AP15" s="58"/>
      <c r="AQ15" s="58"/>
      <c r="AR15" s="58"/>
      <c r="AS15" s="58"/>
      <c r="AT15" s="58"/>
      <c r="AU15" s="54"/>
      <c r="AV15" s="54"/>
      <c r="AW15" s="54"/>
      <c r="AX15" s="54"/>
      <c r="AY15" s="21"/>
      <c r="AZ15" s="21"/>
      <c r="BA15" s="27"/>
    </row>
    <row r="16" spans="2:53" ht="8.25" customHeight="1" x14ac:dyDescent="0.25">
      <c r="B16" s="147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22"/>
      <c r="AZ16" s="22"/>
      <c r="BA16" s="23"/>
    </row>
    <row r="17" spans="2:54" ht="9" customHeight="1" x14ac:dyDescent="0.25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</row>
    <row r="18" spans="2:54" ht="16.5" customHeight="1" x14ac:dyDescent="0.25">
      <c r="B18" s="64"/>
      <c r="C18" s="55" t="s">
        <v>16</v>
      </c>
      <c r="D18" s="56"/>
      <c r="E18" s="56"/>
      <c r="F18" s="55"/>
      <c r="G18" s="55"/>
      <c r="H18" s="55"/>
      <c r="I18" s="129"/>
      <c r="J18" s="130"/>
      <c r="K18" s="130"/>
      <c r="L18" s="130"/>
      <c r="M18" s="130"/>
      <c r="N18" s="130"/>
      <c r="O18" s="130"/>
      <c r="P18" s="130"/>
      <c r="Q18" s="130"/>
      <c r="R18" s="130"/>
      <c r="S18" s="57" t="s">
        <v>17</v>
      </c>
      <c r="T18" s="56"/>
      <c r="U18" s="56"/>
      <c r="V18" s="56"/>
      <c r="W18" s="56"/>
      <c r="X18" s="56"/>
      <c r="Y18" s="56"/>
      <c r="Z18" s="61"/>
      <c r="AA18" s="61"/>
      <c r="AB18" s="142"/>
      <c r="AC18" s="130"/>
      <c r="AD18" s="130"/>
      <c r="AE18" s="130"/>
      <c r="AF18" s="175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24"/>
      <c r="AT18" s="24"/>
      <c r="AU18" s="24"/>
      <c r="AV18" s="24"/>
      <c r="AW18" s="24"/>
      <c r="AX18" s="24"/>
      <c r="AY18" s="24"/>
      <c r="AZ18" s="24"/>
      <c r="BA18" s="25"/>
    </row>
    <row r="19" spans="2:54" ht="3.75" customHeight="1" x14ac:dyDescent="0.25">
      <c r="B19" s="26"/>
      <c r="C19" s="152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21"/>
      <c r="AV19" s="21"/>
      <c r="AW19" s="21"/>
      <c r="AX19" s="21"/>
      <c r="AY19" s="21"/>
      <c r="AZ19" s="21"/>
      <c r="BA19" s="27"/>
    </row>
    <row r="20" spans="2:54" ht="19.5" customHeight="1" x14ac:dyDescent="0.25">
      <c r="B20" s="172" t="s">
        <v>18</v>
      </c>
      <c r="C20" s="103"/>
      <c r="D20" s="103"/>
      <c r="E20" s="103"/>
      <c r="F20" s="103"/>
      <c r="G20" s="103"/>
      <c r="H20" s="10"/>
      <c r="I20" s="102"/>
      <c r="J20" s="103"/>
      <c r="K20" s="103"/>
      <c r="L20" s="103"/>
      <c r="M20" s="103"/>
      <c r="N20" s="103"/>
      <c r="O20" s="103"/>
      <c r="P20" s="103"/>
      <c r="Q20" s="103"/>
      <c r="R20" s="103"/>
      <c r="U20" s="158" t="s">
        <v>20</v>
      </c>
      <c r="V20" s="103"/>
      <c r="W20" s="103"/>
      <c r="X20" s="103"/>
      <c r="Y20" s="8"/>
      <c r="Z20" s="8"/>
      <c r="AA20" s="102"/>
      <c r="AB20" s="103"/>
      <c r="AC20" s="103"/>
      <c r="AD20" s="103"/>
      <c r="AE20" s="103"/>
      <c r="AF20" s="103"/>
      <c r="AG20" s="65"/>
      <c r="AH20" s="29" t="s">
        <v>22</v>
      </c>
      <c r="AI20" s="60"/>
      <c r="AJ20" s="65"/>
      <c r="AK20" s="65"/>
      <c r="AL20" s="65"/>
      <c r="AM20" s="65"/>
      <c r="AN20" s="8" t="s">
        <v>23</v>
      </c>
      <c r="AP20" s="170"/>
      <c r="AQ20" s="103"/>
      <c r="AR20" s="103"/>
      <c r="AS20" s="29" t="s">
        <v>22</v>
      </c>
      <c r="AT20" s="60"/>
      <c r="AU20" s="21"/>
      <c r="AV20" s="21"/>
      <c r="AW20" s="21"/>
      <c r="AX20" s="21"/>
      <c r="AY20" s="21"/>
      <c r="AZ20" s="21"/>
      <c r="BA20" s="27"/>
    </row>
    <row r="21" spans="2:54" ht="8.25" customHeight="1" x14ac:dyDescent="0.25">
      <c r="B21" s="66"/>
      <c r="C21" s="22"/>
      <c r="D21" s="22"/>
      <c r="E21" s="22"/>
      <c r="F21" s="22"/>
      <c r="G21" s="22"/>
      <c r="H21" s="22"/>
      <c r="I21" s="22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2"/>
      <c r="BA21" s="23"/>
    </row>
    <row r="22" spans="2:54" ht="13.95" customHeight="1" x14ac:dyDescent="0.25">
      <c r="B22" s="127" t="s">
        <v>24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8"/>
      <c r="AM22" s="73"/>
      <c r="AN22" s="115" t="s">
        <v>25</v>
      </c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8"/>
    </row>
    <row r="23" spans="2:54" ht="13.95" customHeight="1" x14ac:dyDescent="0.25">
      <c r="B23" s="169" t="s">
        <v>26</v>
      </c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68"/>
      <c r="P23" s="31"/>
      <c r="Q23" s="111" t="s">
        <v>27</v>
      </c>
      <c r="R23" s="112"/>
      <c r="S23" s="112"/>
      <c r="T23" s="112"/>
      <c r="U23" s="112"/>
      <c r="V23" s="112"/>
      <c r="W23" s="112"/>
      <c r="X23" s="112"/>
      <c r="Y23" s="113"/>
      <c r="Z23" s="31"/>
      <c r="AA23" s="111" t="s">
        <v>28</v>
      </c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3"/>
      <c r="AM23" s="31"/>
      <c r="AN23" s="183" t="s">
        <v>29</v>
      </c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8"/>
    </row>
    <row r="24" spans="2:54" ht="13.95" customHeight="1" x14ac:dyDescent="0.25">
      <c r="B24" s="173">
        <v>0</v>
      </c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4"/>
      <c r="P24" s="32"/>
      <c r="Q24" s="115">
        <f>AU80</f>
        <v>479.71</v>
      </c>
      <c r="R24" s="97"/>
      <c r="S24" s="97"/>
      <c r="T24" s="97"/>
      <c r="U24" s="97"/>
      <c r="V24" s="97"/>
      <c r="W24" s="97"/>
      <c r="X24" s="97"/>
      <c r="Y24" s="98"/>
      <c r="Z24" s="33"/>
      <c r="AA24" s="202">
        <v>0</v>
      </c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4"/>
      <c r="AM24" s="72"/>
      <c r="AN24" s="115">
        <f>AU80</f>
        <v>479.71</v>
      </c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8"/>
    </row>
    <row r="25" spans="2:54" ht="8.25" customHeight="1" x14ac:dyDescent="0.25">
      <c r="B25" s="143" t="s">
        <v>30</v>
      </c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</row>
    <row r="26" spans="2:54" ht="13.95" customHeight="1" x14ac:dyDescent="0.25">
      <c r="B26" s="160" t="s">
        <v>31</v>
      </c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61"/>
    </row>
    <row r="27" spans="2:54" ht="9" customHeight="1" x14ac:dyDescent="0.25">
      <c r="B27" s="13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4"/>
    </row>
    <row r="28" spans="2:54" ht="13.95" customHeight="1" x14ac:dyDescent="0.25">
      <c r="B28" s="192" t="s">
        <v>32</v>
      </c>
      <c r="C28" s="106"/>
      <c r="D28" s="106"/>
      <c r="E28" s="106"/>
      <c r="F28" s="120"/>
      <c r="G28" s="199" t="s">
        <v>33</v>
      </c>
      <c r="H28" s="106"/>
      <c r="I28" s="106"/>
      <c r="J28" s="106"/>
      <c r="K28" s="120"/>
      <c r="L28" s="192" t="s">
        <v>34</v>
      </c>
      <c r="M28" s="106"/>
      <c r="N28" s="106"/>
      <c r="O28" s="106"/>
      <c r="P28" s="120"/>
      <c r="Q28" s="192" t="s">
        <v>35</v>
      </c>
      <c r="R28" s="106"/>
      <c r="S28" s="106"/>
      <c r="T28" s="120"/>
      <c r="U28" s="192" t="s">
        <v>36</v>
      </c>
      <c r="V28" s="106"/>
      <c r="W28" s="106"/>
      <c r="X28" s="106"/>
      <c r="Y28" s="106"/>
      <c r="Z28" s="120"/>
      <c r="AA28" s="192" t="s">
        <v>37</v>
      </c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20"/>
      <c r="AO28" s="198" t="s">
        <v>38</v>
      </c>
      <c r="AP28" s="106"/>
      <c r="AQ28" s="120"/>
      <c r="AR28" s="198" t="s">
        <v>39</v>
      </c>
      <c r="AS28" s="106"/>
      <c r="AT28" s="120"/>
      <c r="AU28" s="192" t="s">
        <v>40</v>
      </c>
      <c r="AV28" s="106"/>
      <c r="AW28" s="106"/>
      <c r="AX28" s="106"/>
      <c r="AY28" s="106"/>
      <c r="AZ28" s="106"/>
      <c r="BA28" s="120"/>
    </row>
    <row r="29" spans="2:54" ht="13.5" customHeight="1" x14ac:dyDescent="0.25">
      <c r="B29" s="121"/>
      <c r="C29" s="112"/>
      <c r="D29" s="112"/>
      <c r="E29" s="112"/>
      <c r="F29" s="113"/>
      <c r="G29" s="121"/>
      <c r="H29" s="112"/>
      <c r="I29" s="112"/>
      <c r="J29" s="112"/>
      <c r="K29" s="113"/>
      <c r="L29" s="121"/>
      <c r="M29" s="112"/>
      <c r="N29" s="112"/>
      <c r="O29" s="112"/>
      <c r="P29" s="113"/>
      <c r="Q29" s="121"/>
      <c r="R29" s="112"/>
      <c r="S29" s="112"/>
      <c r="T29" s="113"/>
      <c r="U29" s="121"/>
      <c r="V29" s="112"/>
      <c r="W29" s="112"/>
      <c r="X29" s="112"/>
      <c r="Y29" s="112"/>
      <c r="Z29" s="113"/>
      <c r="AA29" s="121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3"/>
      <c r="AO29" s="200" t="s">
        <v>41</v>
      </c>
      <c r="AP29" s="112"/>
      <c r="AQ29" s="113"/>
      <c r="AR29" s="200" t="s">
        <v>648</v>
      </c>
      <c r="AS29" s="112"/>
      <c r="AT29" s="113"/>
      <c r="AU29" s="121"/>
      <c r="AV29" s="112"/>
      <c r="AW29" s="112"/>
      <c r="AX29" s="112"/>
      <c r="AY29" s="112"/>
      <c r="AZ29" s="112"/>
      <c r="BA29" s="113"/>
    </row>
    <row r="30" spans="2:54" ht="14.1" customHeight="1" x14ac:dyDescent="0.25">
      <c r="B30" s="190"/>
      <c r="C30" s="93"/>
      <c r="D30" s="93"/>
      <c r="E30" s="93"/>
      <c r="F30" s="94"/>
      <c r="G30" s="185">
        <v>210816</v>
      </c>
      <c r="H30" s="97"/>
      <c r="I30" s="97"/>
      <c r="J30" s="97"/>
      <c r="K30" s="98"/>
      <c r="L30" s="185" t="e">
        <f>IF(G30="","",VLOOKUP($AN$6,'Bases - Cadastro'!A:C,3,0))</f>
        <v>#N/A</v>
      </c>
      <c r="M30" s="97"/>
      <c r="N30" s="97"/>
      <c r="O30" s="97"/>
      <c r="P30" s="98"/>
      <c r="Q30" s="189">
        <v>60675</v>
      </c>
      <c r="R30" s="97"/>
      <c r="S30" s="97"/>
      <c r="T30" s="97"/>
      <c r="U30" s="95" t="s">
        <v>649</v>
      </c>
      <c r="V30" s="93"/>
      <c r="W30" s="93"/>
      <c r="X30" s="93"/>
      <c r="Y30" s="93"/>
      <c r="Z30" s="94"/>
      <c r="AA30" s="95" t="s">
        <v>650</v>
      </c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4"/>
      <c r="AO30" s="104" t="s">
        <v>651</v>
      </c>
      <c r="AP30" s="93"/>
      <c r="AQ30" s="94"/>
      <c r="AR30" s="187" t="str">
        <f>_xlfn.IFNA(VLOOKUP(AO30,'Bases - Cadastro'!$A$37:$B$62,2,0),"")</f>
        <v/>
      </c>
      <c r="AS30" s="97"/>
      <c r="AT30" s="98"/>
      <c r="AU30" s="92">
        <v>49</v>
      </c>
      <c r="AV30" s="93"/>
      <c r="AW30" s="93"/>
      <c r="AX30" s="93"/>
      <c r="AY30" s="93"/>
      <c r="AZ30" s="93"/>
      <c r="BA30" s="94"/>
      <c r="BB30" s="68" t="s">
        <v>652</v>
      </c>
    </row>
    <row r="31" spans="2:54" ht="14.1" customHeight="1" x14ac:dyDescent="0.25">
      <c r="B31" s="190"/>
      <c r="C31" s="93"/>
      <c r="D31" s="93"/>
      <c r="E31" s="93"/>
      <c r="F31" s="94"/>
      <c r="G31" s="185">
        <v>210816</v>
      </c>
      <c r="H31" s="97"/>
      <c r="I31" s="97"/>
      <c r="J31" s="97"/>
      <c r="K31" s="98"/>
      <c r="L31" s="185" t="e">
        <f>IF(G31="","",VLOOKUP($AN$6,'Bases - Cadastro'!A:C,3,0))</f>
        <v>#N/A</v>
      </c>
      <c r="M31" s="97"/>
      <c r="N31" s="97"/>
      <c r="O31" s="97"/>
      <c r="P31" s="98"/>
      <c r="Q31" s="189">
        <v>60615</v>
      </c>
      <c r="R31" s="97"/>
      <c r="S31" s="97"/>
      <c r="T31" s="97"/>
      <c r="U31" s="95" t="s">
        <v>649</v>
      </c>
      <c r="V31" s="93"/>
      <c r="W31" s="93"/>
      <c r="X31" s="93"/>
      <c r="Y31" s="93"/>
      <c r="Z31" s="94"/>
      <c r="AA31" s="95" t="s">
        <v>650</v>
      </c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4"/>
      <c r="AO31" s="104" t="s">
        <v>651</v>
      </c>
      <c r="AP31" s="93"/>
      <c r="AQ31" s="94"/>
      <c r="AR31" s="187" t="str">
        <f>_xlfn.IFNA(VLOOKUP(AO31,'Bases - Cadastro'!$A$37:$B$62,2,0),"")</f>
        <v/>
      </c>
      <c r="AS31" s="97"/>
      <c r="AT31" s="98"/>
      <c r="AU31" s="92">
        <v>110</v>
      </c>
      <c r="AV31" s="93"/>
      <c r="AW31" s="93"/>
      <c r="AX31" s="93"/>
      <c r="AY31" s="93"/>
      <c r="AZ31" s="93"/>
      <c r="BA31" s="94"/>
      <c r="BB31" s="68" t="s">
        <v>653</v>
      </c>
    </row>
    <row r="32" spans="2:54" ht="14.1" customHeight="1" x14ac:dyDescent="0.25">
      <c r="B32" s="190"/>
      <c r="C32" s="93"/>
      <c r="D32" s="93"/>
      <c r="E32" s="93"/>
      <c r="F32" s="94"/>
      <c r="G32" s="185">
        <v>210816</v>
      </c>
      <c r="H32" s="97"/>
      <c r="I32" s="97"/>
      <c r="J32" s="97"/>
      <c r="K32" s="98"/>
      <c r="L32" s="185" t="e">
        <f>IF(G32="","",VLOOKUP($AN$6,'Bases - Cadastro'!A:C,3,0))</f>
        <v>#N/A</v>
      </c>
      <c r="M32" s="97"/>
      <c r="N32" s="97"/>
      <c r="O32" s="97"/>
      <c r="P32" s="98"/>
      <c r="Q32" s="189" t="s">
        <v>654</v>
      </c>
      <c r="R32" s="97"/>
      <c r="S32" s="97"/>
      <c r="T32" s="97"/>
      <c r="U32" s="95" t="s">
        <v>655</v>
      </c>
      <c r="V32" s="93"/>
      <c r="W32" s="93"/>
      <c r="X32" s="93"/>
      <c r="Y32" s="93"/>
      <c r="Z32" s="94"/>
      <c r="AA32" s="104" t="s">
        <v>656</v>
      </c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4"/>
      <c r="AO32" s="104" t="s">
        <v>651</v>
      </c>
      <c r="AP32" s="93"/>
      <c r="AQ32" s="94"/>
      <c r="AR32" s="187" t="str">
        <f>_xlfn.IFNA(VLOOKUP(AO32,'Bases - Cadastro'!$A$37:$B$62,2,0),"")</f>
        <v/>
      </c>
      <c r="AS32" s="97"/>
      <c r="AT32" s="98"/>
      <c r="AU32" s="92">
        <v>47</v>
      </c>
      <c r="AV32" s="93"/>
      <c r="AW32" s="93"/>
      <c r="AX32" s="93"/>
      <c r="AY32" s="93"/>
      <c r="AZ32" s="93"/>
      <c r="BA32" s="94"/>
    </row>
    <row r="33" spans="2:57" ht="14.1" customHeight="1" x14ac:dyDescent="0.25">
      <c r="B33" s="190"/>
      <c r="C33" s="93"/>
      <c r="D33" s="93"/>
      <c r="E33" s="93"/>
      <c r="F33" s="94"/>
      <c r="G33" s="185">
        <v>210816</v>
      </c>
      <c r="H33" s="97"/>
      <c r="I33" s="97"/>
      <c r="J33" s="97"/>
      <c r="K33" s="98"/>
      <c r="L33" s="185" t="e">
        <f>IF(G33="","",VLOOKUP($AN$6,'Bases - Cadastro'!A:C,3,0))</f>
        <v>#N/A</v>
      </c>
      <c r="M33" s="97"/>
      <c r="N33" s="97"/>
      <c r="O33" s="97"/>
      <c r="P33" s="98"/>
      <c r="Q33" s="189" t="s">
        <v>654</v>
      </c>
      <c r="R33" s="97"/>
      <c r="S33" s="97"/>
      <c r="T33" s="97"/>
      <c r="U33" s="95" t="s">
        <v>655</v>
      </c>
      <c r="V33" s="93"/>
      <c r="W33" s="93"/>
      <c r="X33" s="93"/>
      <c r="Y33" s="93"/>
      <c r="Z33" s="94"/>
      <c r="AA33" s="95" t="s">
        <v>657</v>
      </c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4"/>
      <c r="AO33" s="104" t="s">
        <v>651</v>
      </c>
      <c r="AP33" s="93"/>
      <c r="AQ33" s="94"/>
      <c r="AR33" s="187" t="str">
        <f>_xlfn.IFNA(VLOOKUP(AO33,'Bases - Cadastro'!$A$37:$B$62,2,0),"")</f>
        <v/>
      </c>
      <c r="AS33" s="97"/>
      <c r="AT33" s="98"/>
      <c r="AU33" s="92">
        <v>44.77</v>
      </c>
      <c r="AV33" s="93"/>
      <c r="AW33" s="93"/>
      <c r="AX33" s="93"/>
      <c r="AY33" s="93"/>
      <c r="AZ33" s="93"/>
      <c r="BA33" s="94"/>
    </row>
    <row r="34" spans="2:57" ht="14.1" customHeight="1" x14ac:dyDescent="0.25">
      <c r="B34" s="190"/>
      <c r="C34" s="93"/>
      <c r="D34" s="93"/>
      <c r="E34" s="93"/>
      <c r="F34" s="94"/>
      <c r="G34" s="185">
        <v>210816</v>
      </c>
      <c r="H34" s="97"/>
      <c r="I34" s="97"/>
      <c r="J34" s="97"/>
      <c r="K34" s="98"/>
      <c r="L34" s="185" t="e">
        <f>IF(G34="","",VLOOKUP($AN$6,'Bases - Cadastro'!A:C,3,0))</f>
        <v>#N/A</v>
      </c>
      <c r="M34" s="97"/>
      <c r="N34" s="97"/>
      <c r="O34" s="97"/>
      <c r="P34" s="98"/>
      <c r="Q34" s="189" t="s">
        <v>655</v>
      </c>
      <c r="R34" s="97"/>
      <c r="S34" s="97"/>
      <c r="T34" s="97"/>
      <c r="U34" s="95" t="s">
        <v>655</v>
      </c>
      <c r="V34" s="93"/>
      <c r="W34" s="93"/>
      <c r="X34" s="93"/>
      <c r="Y34" s="93"/>
      <c r="Z34" s="94"/>
      <c r="AA34" s="95" t="s">
        <v>658</v>
      </c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4"/>
      <c r="AO34" s="104" t="s">
        <v>651</v>
      </c>
      <c r="AP34" s="93"/>
      <c r="AQ34" s="94"/>
      <c r="AR34" s="187" t="str">
        <f>_xlfn.IFNA(VLOOKUP(AO34,'Bases - Cadastro'!$A$37:$B$62,2,0),"")</f>
        <v/>
      </c>
      <c r="AS34" s="97"/>
      <c r="AT34" s="98"/>
      <c r="AU34" s="92">
        <v>50</v>
      </c>
      <c r="AV34" s="93"/>
      <c r="AW34" s="93"/>
      <c r="AX34" s="93"/>
      <c r="AY34" s="93"/>
      <c r="AZ34" s="93"/>
      <c r="BA34" s="94"/>
    </row>
    <row r="35" spans="2:57" ht="14.1" customHeight="1" x14ac:dyDescent="0.25">
      <c r="B35" s="190"/>
      <c r="C35" s="93"/>
      <c r="D35" s="93"/>
      <c r="E35" s="93"/>
      <c r="F35" s="94"/>
      <c r="G35" s="185">
        <v>210816</v>
      </c>
      <c r="H35" s="97"/>
      <c r="I35" s="97"/>
      <c r="J35" s="97"/>
      <c r="K35" s="98"/>
      <c r="L35" s="185" t="e">
        <f>IF(G35="","",VLOOKUP($AN$6,'Bases - Cadastro'!A:C,3,0))</f>
        <v>#N/A</v>
      </c>
      <c r="M35" s="97"/>
      <c r="N35" s="97"/>
      <c r="O35" s="97"/>
      <c r="P35" s="98"/>
      <c r="Q35" s="189" t="s">
        <v>655</v>
      </c>
      <c r="R35" s="97"/>
      <c r="S35" s="97"/>
      <c r="T35" s="97"/>
      <c r="U35" s="95" t="s">
        <v>659</v>
      </c>
      <c r="V35" s="93"/>
      <c r="W35" s="93"/>
      <c r="X35" s="93"/>
      <c r="Y35" s="93"/>
      <c r="Z35" s="94"/>
      <c r="AA35" s="95" t="s">
        <v>660</v>
      </c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4"/>
      <c r="AO35" s="104" t="s">
        <v>651</v>
      </c>
      <c r="AP35" s="93"/>
      <c r="AQ35" s="94"/>
      <c r="AR35" s="187" t="str">
        <f>_xlfn.IFNA(VLOOKUP(AO35,'Bases - Cadastro'!$A$37:$B$62,2,0),"")</f>
        <v/>
      </c>
      <c r="AS35" s="97"/>
      <c r="AT35" s="98"/>
      <c r="AU35" s="92">
        <v>178.94</v>
      </c>
      <c r="AV35" s="93"/>
      <c r="AW35" s="93"/>
      <c r="AX35" s="93"/>
      <c r="AY35" s="93"/>
      <c r="AZ35" s="93"/>
      <c r="BA35" s="94"/>
      <c r="BD35" s="67"/>
    </row>
    <row r="36" spans="2:57" ht="14.1" customHeight="1" x14ac:dyDescent="0.3">
      <c r="B36" s="190"/>
      <c r="C36" s="93"/>
      <c r="D36" s="93"/>
      <c r="E36" s="93"/>
      <c r="F36" s="94"/>
      <c r="G36" s="185"/>
      <c r="H36" s="97"/>
      <c r="I36" s="97"/>
      <c r="J36" s="97"/>
      <c r="K36" s="98"/>
      <c r="L36" s="185" t="str">
        <f>IF(G36="","",VLOOKUP($AN$6,'Bases - Cadastro'!A:C,3,0))</f>
        <v/>
      </c>
      <c r="M36" s="97"/>
      <c r="N36" s="97"/>
      <c r="O36" s="97"/>
      <c r="P36" s="98"/>
      <c r="Q36" s="189"/>
      <c r="R36" s="97"/>
      <c r="S36" s="97"/>
      <c r="T36" s="97"/>
      <c r="U36" s="95"/>
      <c r="V36" s="93"/>
      <c r="W36" s="93"/>
      <c r="X36" s="93"/>
      <c r="Y36" s="93"/>
      <c r="Z36" s="94"/>
      <c r="AA36" s="95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4"/>
      <c r="AO36" s="104"/>
      <c r="AP36" s="93"/>
      <c r="AQ36" s="94"/>
      <c r="AR36" s="187" t="str">
        <f>_xlfn.IFNA(VLOOKUP(AO36,'Bases - Cadastro'!$A$37:$B$62,2,0),"")</f>
        <v/>
      </c>
      <c r="AS36" s="97"/>
      <c r="AT36" s="98"/>
      <c r="AU36" s="92"/>
      <c r="AV36" s="93"/>
      <c r="AW36" s="93"/>
      <c r="AX36" s="93"/>
      <c r="AY36" s="93"/>
      <c r="AZ36" s="93"/>
      <c r="BA36" s="94"/>
      <c r="BB36" s="34"/>
      <c r="BC36" s="69"/>
    </row>
    <row r="37" spans="2:57" ht="14.1" customHeight="1" x14ac:dyDescent="0.3">
      <c r="B37" s="190"/>
      <c r="C37" s="93"/>
      <c r="D37" s="93"/>
      <c r="E37" s="93"/>
      <c r="F37" s="94"/>
      <c r="G37" s="185"/>
      <c r="H37" s="97"/>
      <c r="I37" s="97"/>
      <c r="J37" s="97"/>
      <c r="K37" s="98"/>
      <c r="L37" s="185" t="str">
        <f>IF(G37="","",VLOOKUP($AN$6,'Bases - Cadastro'!A:C,3,0))</f>
        <v/>
      </c>
      <c r="M37" s="97"/>
      <c r="N37" s="97"/>
      <c r="O37" s="97"/>
      <c r="P37" s="98"/>
      <c r="Q37" s="189"/>
      <c r="R37" s="97"/>
      <c r="S37" s="97"/>
      <c r="T37" s="97"/>
      <c r="U37" s="95"/>
      <c r="V37" s="93"/>
      <c r="W37" s="93"/>
      <c r="X37" s="93"/>
      <c r="Y37" s="93"/>
      <c r="Z37" s="94"/>
      <c r="AA37" s="95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4"/>
      <c r="AO37" s="104"/>
      <c r="AP37" s="93"/>
      <c r="AQ37" s="94"/>
      <c r="AR37" s="187" t="str">
        <f>_xlfn.IFNA(VLOOKUP(AO37,'Bases - Cadastro'!$A$37:$B$62,2,0),"")</f>
        <v/>
      </c>
      <c r="AS37" s="97"/>
      <c r="AT37" s="98"/>
      <c r="AU37" s="92"/>
      <c r="AV37" s="93"/>
      <c r="AW37" s="93"/>
      <c r="AX37" s="93"/>
      <c r="AY37" s="93"/>
      <c r="AZ37" s="93"/>
      <c r="BA37" s="94"/>
      <c r="BB37" s="34"/>
      <c r="BC37" s="69"/>
    </row>
    <row r="38" spans="2:57" ht="14.1" customHeight="1" x14ac:dyDescent="0.25">
      <c r="B38" s="190"/>
      <c r="C38" s="93"/>
      <c r="D38" s="93"/>
      <c r="E38" s="93"/>
      <c r="F38" s="94"/>
      <c r="G38" s="185"/>
      <c r="H38" s="97"/>
      <c r="I38" s="97"/>
      <c r="J38" s="97"/>
      <c r="K38" s="98"/>
      <c r="L38" s="185" t="str">
        <f>IF(G38="","",VLOOKUP($AN$6,'Bases - Cadastro'!A:C,3,0))</f>
        <v/>
      </c>
      <c r="M38" s="97"/>
      <c r="N38" s="97"/>
      <c r="O38" s="97"/>
      <c r="P38" s="98"/>
      <c r="Q38" s="189"/>
      <c r="R38" s="97"/>
      <c r="S38" s="97"/>
      <c r="T38" s="97"/>
      <c r="U38" s="95"/>
      <c r="V38" s="93"/>
      <c r="W38" s="93"/>
      <c r="X38" s="93"/>
      <c r="Y38" s="93"/>
      <c r="Z38" s="94"/>
      <c r="AA38" s="95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4"/>
      <c r="AO38" s="104"/>
      <c r="AP38" s="93"/>
      <c r="AQ38" s="94"/>
      <c r="AR38" s="187" t="str">
        <f>_xlfn.IFNA(VLOOKUP(AO38,'Bases - Cadastro'!$A$37:$B$62,2,0),"")</f>
        <v/>
      </c>
      <c r="AS38" s="97"/>
      <c r="AT38" s="98"/>
      <c r="AU38" s="92"/>
      <c r="AV38" s="93"/>
      <c r="AW38" s="93"/>
      <c r="AX38" s="93"/>
      <c r="AY38" s="93"/>
      <c r="AZ38" s="93"/>
      <c r="BA38" s="94"/>
      <c r="BC38" s="70"/>
      <c r="BE38" s="67"/>
    </row>
    <row r="39" spans="2:57" ht="14.1" customHeight="1" x14ac:dyDescent="0.25">
      <c r="B39" s="190"/>
      <c r="C39" s="93"/>
      <c r="D39" s="93"/>
      <c r="E39" s="93"/>
      <c r="F39" s="94"/>
      <c r="G39" s="185"/>
      <c r="H39" s="97"/>
      <c r="I39" s="97"/>
      <c r="J39" s="97"/>
      <c r="K39" s="98"/>
      <c r="L39" s="185" t="str">
        <f>IF(G39="","",VLOOKUP($AN$6,'Bases - Cadastro'!A:C,3,0))</f>
        <v/>
      </c>
      <c r="M39" s="97"/>
      <c r="N39" s="97"/>
      <c r="O39" s="97"/>
      <c r="P39" s="98"/>
      <c r="Q39" s="189"/>
      <c r="R39" s="97"/>
      <c r="S39" s="97"/>
      <c r="T39" s="97"/>
      <c r="U39" s="95"/>
      <c r="V39" s="93"/>
      <c r="W39" s="93"/>
      <c r="X39" s="93"/>
      <c r="Y39" s="93"/>
      <c r="Z39" s="94"/>
      <c r="AA39" s="95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4"/>
      <c r="AO39" s="104"/>
      <c r="AP39" s="93"/>
      <c r="AQ39" s="94"/>
      <c r="AR39" s="187" t="str">
        <f>_xlfn.IFNA(VLOOKUP(AO39,'Bases - Cadastro'!$A$37:$B$62,2,0),"")</f>
        <v/>
      </c>
      <c r="AS39" s="97"/>
      <c r="AT39" s="98"/>
      <c r="AU39" s="92"/>
      <c r="AV39" s="93"/>
      <c r="AW39" s="93"/>
      <c r="AX39" s="93"/>
      <c r="AY39" s="93"/>
      <c r="AZ39" s="93"/>
      <c r="BA39" s="94"/>
    </row>
    <row r="40" spans="2:57" ht="14.1" customHeight="1" x14ac:dyDescent="0.25">
      <c r="B40" s="190"/>
      <c r="C40" s="93"/>
      <c r="D40" s="93"/>
      <c r="E40" s="93"/>
      <c r="F40" s="94"/>
      <c r="G40" s="185"/>
      <c r="H40" s="97"/>
      <c r="I40" s="97"/>
      <c r="J40" s="97"/>
      <c r="K40" s="98"/>
      <c r="L40" s="185" t="str">
        <f>IF(G40="","",VLOOKUP($AN$6,'Bases - Cadastro'!A:C,3,0))</f>
        <v/>
      </c>
      <c r="M40" s="97"/>
      <c r="N40" s="97"/>
      <c r="O40" s="97"/>
      <c r="P40" s="98"/>
      <c r="Q40" s="189"/>
      <c r="R40" s="97"/>
      <c r="S40" s="97"/>
      <c r="T40" s="97"/>
      <c r="U40" s="95"/>
      <c r="V40" s="93"/>
      <c r="W40" s="93"/>
      <c r="X40" s="93"/>
      <c r="Y40" s="93"/>
      <c r="Z40" s="94"/>
      <c r="AA40" s="95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4"/>
      <c r="AO40" s="104"/>
      <c r="AP40" s="93"/>
      <c r="AQ40" s="94"/>
      <c r="AR40" s="187" t="str">
        <f>_xlfn.IFNA(VLOOKUP(AO40,'Bases - Cadastro'!$A$37:$B$62,2,0),"")</f>
        <v/>
      </c>
      <c r="AS40" s="97"/>
      <c r="AT40" s="98"/>
      <c r="AU40" s="92"/>
      <c r="AV40" s="93"/>
      <c r="AW40" s="93"/>
      <c r="AX40" s="93"/>
      <c r="AY40" s="93"/>
      <c r="AZ40" s="93"/>
      <c r="BA40" s="94"/>
    </row>
    <row r="41" spans="2:57" ht="14.1" customHeight="1" x14ac:dyDescent="0.25">
      <c r="B41" s="190"/>
      <c r="C41" s="93"/>
      <c r="D41" s="93"/>
      <c r="E41" s="93"/>
      <c r="F41" s="94"/>
      <c r="G41" s="185"/>
      <c r="H41" s="97"/>
      <c r="I41" s="97"/>
      <c r="J41" s="97"/>
      <c r="K41" s="98"/>
      <c r="L41" s="185" t="str">
        <f>IF(G41="","",VLOOKUP($AN$6,'Bases - Cadastro'!A:C,3,0))</f>
        <v/>
      </c>
      <c r="M41" s="97"/>
      <c r="N41" s="97"/>
      <c r="O41" s="97"/>
      <c r="P41" s="98"/>
      <c r="Q41" s="189"/>
      <c r="R41" s="97"/>
      <c r="S41" s="97"/>
      <c r="T41" s="97"/>
      <c r="U41" s="95"/>
      <c r="V41" s="93"/>
      <c r="W41" s="93"/>
      <c r="X41" s="93"/>
      <c r="Y41" s="93"/>
      <c r="Z41" s="94"/>
      <c r="AA41" s="95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4"/>
      <c r="AO41" s="104"/>
      <c r="AP41" s="93"/>
      <c r="AQ41" s="94"/>
      <c r="AR41" s="187" t="str">
        <f>_xlfn.IFNA(VLOOKUP(AO41,'Bases - Cadastro'!$A$37:$B$62,2,0),"")</f>
        <v/>
      </c>
      <c r="AS41" s="97"/>
      <c r="AT41" s="98"/>
      <c r="AU41" s="92"/>
      <c r="AV41" s="93"/>
      <c r="AW41" s="93"/>
      <c r="AX41" s="93"/>
      <c r="AY41" s="93"/>
      <c r="AZ41" s="93"/>
      <c r="BA41" s="94"/>
    </row>
    <row r="42" spans="2:57" ht="14.1" customHeight="1" x14ac:dyDescent="0.25">
      <c r="B42" s="190"/>
      <c r="C42" s="93"/>
      <c r="D42" s="93"/>
      <c r="E42" s="93"/>
      <c r="F42" s="94"/>
      <c r="G42" s="185"/>
      <c r="H42" s="97"/>
      <c r="I42" s="97"/>
      <c r="J42" s="97"/>
      <c r="K42" s="98"/>
      <c r="L42" s="185" t="str">
        <f>IF(G42="","",VLOOKUP($AN$6,'Bases - Cadastro'!A:C,3,0))</f>
        <v/>
      </c>
      <c r="M42" s="97"/>
      <c r="N42" s="97"/>
      <c r="O42" s="97"/>
      <c r="P42" s="98"/>
      <c r="Q42" s="189"/>
      <c r="R42" s="97"/>
      <c r="S42" s="97"/>
      <c r="T42" s="97"/>
      <c r="U42" s="95"/>
      <c r="V42" s="93"/>
      <c r="W42" s="93"/>
      <c r="X42" s="93"/>
      <c r="Y42" s="93"/>
      <c r="Z42" s="94"/>
      <c r="AA42" s="95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4"/>
      <c r="AO42" s="104"/>
      <c r="AP42" s="93"/>
      <c r="AQ42" s="94"/>
      <c r="AR42" s="187" t="str">
        <f>_xlfn.IFNA(VLOOKUP(AO42,'Bases - Cadastro'!$A$37:$B$62,2,0),"")</f>
        <v/>
      </c>
      <c r="AS42" s="97"/>
      <c r="AT42" s="98"/>
      <c r="AU42" s="92"/>
      <c r="AV42" s="93"/>
      <c r="AW42" s="93"/>
      <c r="AX42" s="93"/>
      <c r="AY42" s="93"/>
      <c r="AZ42" s="93"/>
      <c r="BA42" s="94"/>
      <c r="BE42" s="35"/>
    </row>
    <row r="43" spans="2:57" ht="14.1" customHeight="1" x14ac:dyDescent="0.25">
      <c r="B43" s="190"/>
      <c r="C43" s="93"/>
      <c r="D43" s="93"/>
      <c r="E43" s="93"/>
      <c r="F43" s="94"/>
      <c r="G43" s="185"/>
      <c r="H43" s="97"/>
      <c r="I43" s="97"/>
      <c r="J43" s="97"/>
      <c r="K43" s="98"/>
      <c r="L43" s="185" t="str">
        <f>IF(G43="","",VLOOKUP($AN$6,'Bases - Cadastro'!A:C,3,0))</f>
        <v/>
      </c>
      <c r="M43" s="97"/>
      <c r="N43" s="97"/>
      <c r="O43" s="97"/>
      <c r="P43" s="98"/>
      <c r="Q43" s="189"/>
      <c r="R43" s="97"/>
      <c r="S43" s="97"/>
      <c r="T43" s="97"/>
      <c r="U43" s="95"/>
      <c r="V43" s="93"/>
      <c r="W43" s="93"/>
      <c r="X43" s="93"/>
      <c r="Y43" s="93"/>
      <c r="Z43" s="94"/>
      <c r="AA43" s="95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4"/>
      <c r="AO43" s="104"/>
      <c r="AP43" s="93"/>
      <c r="AQ43" s="94"/>
      <c r="AR43" s="187" t="str">
        <f>_xlfn.IFNA(VLOOKUP(AO43,'Bases - Cadastro'!$A$37:$B$62,2,0),"")</f>
        <v/>
      </c>
      <c r="AS43" s="97"/>
      <c r="AT43" s="98"/>
      <c r="AU43" s="92"/>
      <c r="AV43" s="93"/>
      <c r="AW43" s="93"/>
      <c r="AX43" s="93"/>
      <c r="AY43" s="93"/>
      <c r="AZ43" s="93"/>
      <c r="BA43" s="94"/>
    </row>
    <row r="44" spans="2:57" ht="14.1" customHeight="1" x14ac:dyDescent="0.25">
      <c r="B44" s="190"/>
      <c r="C44" s="93"/>
      <c r="D44" s="93"/>
      <c r="E44" s="93"/>
      <c r="F44" s="94"/>
      <c r="G44" s="185"/>
      <c r="H44" s="97"/>
      <c r="I44" s="97"/>
      <c r="J44" s="97"/>
      <c r="K44" s="98"/>
      <c r="L44" s="185" t="str">
        <f>IF(G44="","",VLOOKUP($AN$6,'Bases - Cadastro'!A:C,3,0))</f>
        <v/>
      </c>
      <c r="M44" s="97"/>
      <c r="N44" s="97"/>
      <c r="O44" s="97"/>
      <c r="P44" s="98"/>
      <c r="Q44" s="189"/>
      <c r="R44" s="97"/>
      <c r="S44" s="97"/>
      <c r="T44" s="97"/>
      <c r="U44" s="95"/>
      <c r="V44" s="93"/>
      <c r="W44" s="93"/>
      <c r="X44" s="93"/>
      <c r="Y44" s="93"/>
      <c r="Z44" s="94"/>
      <c r="AA44" s="95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4"/>
      <c r="AO44" s="104"/>
      <c r="AP44" s="93"/>
      <c r="AQ44" s="94"/>
      <c r="AR44" s="187" t="str">
        <f>_xlfn.IFNA(VLOOKUP(AO44,'Bases - Cadastro'!$A$37:$B$62,2,0),"")</f>
        <v/>
      </c>
      <c r="AS44" s="97"/>
      <c r="AT44" s="98"/>
      <c r="AU44" s="92"/>
      <c r="AV44" s="93"/>
      <c r="AW44" s="93"/>
      <c r="AX44" s="93"/>
      <c r="AY44" s="93"/>
      <c r="AZ44" s="93"/>
      <c r="BA44" s="94"/>
    </row>
    <row r="45" spans="2:57" ht="14.1" customHeight="1" x14ac:dyDescent="0.25">
      <c r="B45" s="190"/>
      <c r="C45" s="93"/>
      <c r="D45" s="93"/>
      <c r="E45" s="93"/>
      <c r="F45" s="94"/>
      <c r="G45" s="185"/>
      <c r="H45" s="97"/>
      <c r="I45" s="97"/>
      <c r="J45" s="97"/>
      <c r="K45" s="98"/>
      <c r="L45" s="185" t="str">
        <f>IF(G45="","",VLOOKUP($AN$6,'Bases - Cadastro'!A:C,3,0))</f>
        <v/>
      </c>
      <c r="M45" s="97"/>
      <c r="N45" s="97"/>
      <c r="O45" s="97"/>
      <c r="P45" s="98"/>
      <c r="Q45" s="189"/>
      <c r="R45" s="97"/>
      <c r="S45" s="97"/>
      <c r="T45" s="97"/>
      <c r="U45" s="95"/>
      <c r="V45" s="93"/>
      <c r="W45" s="93"/>
      <c r="X45" s="93"/>
      <c r="Y45" s="93"/>
      <c r="Z45" s="94"/>
      <c r="AA45" s="95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4"/>
      <c r="AO45" s="104"/>
      <c r="AP45" s="93"/>
      <c r="AQ45" s="94"/>
      <c r="AR45" s="187" t="str">
        <f>_xlfn.IFNA(VLOOKUP(AO45,'Bases - Cadastro'!$A$37:$B$62,2,0),"")</f>
        <v/>
      </c>
      <c r="AS45" s="97"/>
      <c r="AT45" s="98"/>
      <c r="AU45" s="92"/>
      <c r="AV45" s="93"/>
      <c r="AW45" s="93"/>
      <c r="AX45" s="93"/>
      <c r="AY45" s="93"/>
      <c r="AZ45" s="93"/>
      <c r="BA45" s="94"/>
    </row>
    <row r="46" spans="2:57" ht="14.1" customHeight="1" x14ac:dyDescent="0.25">
      <c r="B46" s="190"/>
      <c r="C46" s="93"/>
      <c r="D46" s="93"/>
      <c r="E46" s="93"/>
      <c r="F46" s="94"/>
      <c r="G46" s="185"/>
      <c r="H46" s="97"/>
      <c r="I46" s="97"/>
      <c r="J46" s="97"/>
      <c r="K46" s="98"/>
      <c r="L46" s="185" t="str">
        <f>IF(G46="","",VLOOKUP($AN$6,'Bases - Cadastro'!A:C,3,0))</f>
        <v/>
      </c>
      <c r="M46" s="97"/>
      <c r="N46" s="97"/>
      <c r="O46" s="97"/>
      <c r="P46" s="98"/>
      <c r="Q46" s="189"/>
      <c r="R46" s="97"/>
      <c r="S46" s="97"/>
      <c r="T46" s="97"/>
      <c r="U46" s="95"/>
      <c r="V46" s="93"/>
      <c r="W46" s="93"/>
      <c r="X46" s="93"/>
      <c r="Y46" s="93"/>
      <c r="Z46" s="94"/>
      <c r="AA46" s="95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4"/>
      <c r="AO46" s="104"/>
      <c r="AP46" s="93"/>
      <c r="AQ46" s="94"/>
      <c r="AR46" s="187" t="str">
        <f>_xlfn.IFNA(VLOOKUP(AO46,'Bases - Cadastro'!$A$37:$B$62,2,0),"")</f>
        <v/>
      </c>
      <c r="AS46" s="97"/>
      <c r="AT46" s="98"/>
      <c r="AU46" s="92"/>
      <c r="AV46" s="93"/>
      <c r="AW46" s="93"/>
      <c r="AX46" s="93"/>
      <c r="AY46" s="93"/>
      <c r="AZ46" s="93"/>
      <c r="BA46" s="94"/>
    </row>
    <row r="47" spans="2:57" ht="14.1" customHeight="1" x14ac:dyDescent="0.25">
      <c r="B47" s="190"/>
      <c r="C47" s="93"/>
      <c r="D47" s="93"/>
      <c r="E47" s="93"/>
      <c r="F47" s="94"/>
      <c r="G47" s="185"/>
      <c r="H47" s="97"/>
      <c r="I47" s="97"/>
      <c r="J47" s="97"/>
      <c r="K47" s="98"/>
      <c r="L47" s="185" t="str">
        <f>IF(G47="","",VLOOKUP($AN$6,'Bases - Cadastro'!A:C,3,0))</f>
        <v/>
      </c>
      <c r="M47" s="97"/>
      <c r="N47" s="97"/>
      <c r="O47" s="97"/>
      <c r="P47" s="98"/>
      <c r="Q47" s="189"/>
      <c r="R47" s="97"/>
      <c r="S47" s="97"/>
      <c r="T47" s="97"/>
      <c r="U47" s="95"/>
      <c r="V47" s="93"/>
      <c r="W47" s="93"/>
      <c r="X47" s="93"/>
      <c r="Y47" s="93"/>
      <c r="Z47" s="94"/>
      <c r="AA47" s="95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4"/>
      <c r="AO47" s="104"/>
      <c r="AP47" s="93"/>
      <c r="AQ47" s="94"/>
      <c r="AR47" s="187" t="str">
        <f>_xlfn.IFNA(VLOOKUP(AO47,'Bases - Cadastro'!$A$37:$B$62,2,0),"")</f>
        <v/>
      </c>
      <c r="AS47" s="97"/>
      <c r="AT47" s="98"/>
      <c r="AU47" s="92"/>
      <c r="AV47" s="93"/>
      <c r="AW47" s="93"/>
      <c r="AX47" s="93"/>
      <c r="AY47" s="93"/>
      <c r="AZ47" s="93"/>
      <c r="BA47" s="94"/>
    </row>
    <row r="48" spans="2:57" ht="14.1" customHeight="1" x14ac:dyDescent="0.25">
      <c r="B48" s="190"/>
      <c r="C48" s="93"/>
      <c r="D48" s="93"/>
      <c r="E48" s="93"/>
      <c r="F48" s="94"/>
      <c r="G48" s="185"/>
      <c r="H48" s="97"/>
      <c r="I48" s="97"/>
      <c r="J48" s="97"/>
      <c r="K48" s="98"/>
      <c r="L48" s="185" t="str">
        <f>IF(G48="","",VLOOKUP($AN$6,'Bases - Cadastro'!A:C,3,0))</f>
        <v/>
      </c>
      <c r="M48" s="97"/>
      <c r="N48" s="97"/>
      <c r="O48" s="97"/>
      <c r="P48" s="98"/>
      <c r="Q48" s="189"/>
      <c r="R48" s="97"/>
      <c r="S48" s="97"/>
      <c r="T48" s="97"/>
      <c r="U48" s="95"/>
      <c r="V48" s="93"/>
      <c r="W48" s="93"/>
      <c r="X48" s="93"/>
      <c r="Y48" s="93"/>
      <c r="Z48" s="94"/>
      <c r="AA48" s="95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4"/>
      <c r="AO48" s="104"/>
      <c r="AP48" s="93"/>
      <c r="AQ48" s="94"/>
      <c r="AR48" s="187" t="str">
        <f>_xlfn.IFNA(VLOOKUP(AO48,'Bases - Cadastro'!$A$37:$B$62,2,0),"")</f>
        <v/>
      </c>
      <c r="AS48" s="97"/>
      <c r="AT48" s="98"/>
      <c r="AU48" s="92"/>
      <c r="AV48" s="93"/>
      <c r="AW48" s="93"/>
      <c r="AX48" s="93"/>
      <c r="AY48" s="93"/>
      <c r="AZ48" s="93"/>
      <c r="BA48" s="94"/>
    </row>
    <row r="49" spans="2:53" ht="14.1" customHeight="1" x14ac:dyDescent="0.25">
      <c r="B49" s="190"/>
      <c r="C49" s="93"/>
      <c r="D49" s="93"/>
      <c r="E49" s="93"/>
      <c r="F49" s="94"/>
      <c r="G49" s="185"/>
      <c r="H49" s="97"/>
      <c r="I49" s="97"/>
      <c r="J49" s="97"/>
      <c r="K49" s="98"/>
      <c r="L49" s="185" t="str">
        <f>IF(G49="","",VLOOKUP($AN$6,'Bases - Cadastro'!A:C,3,0))</f>
        <v/>
      </c>
      <c r="M49" s="97"/>
      <c r="N49" s="97"/>
      <c r="O49" s="97"/>
      <c r="P49" s="98"/>
      <c r="Q49" s="189"/>
      <c r="R49" s="97"/>
      <c r="S49" s="97"/>
      <c r="T49" s="97"/>
      <c r="U49" s="95"/>
      <c r="V49" s="93"/>
      <c r="W49" s="93"/>
      <c r="X49" s="93"/>
      <c r="Y49" s="93"/>
      <c r="Z49" s="94"/>
      <c r="AA49" s="95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4"/>
      <c r="AO49" s="104"/>
      <c r="AP49" s="93"/>
      <c r="AQ49" s="94"/>
      <c r="AR49" s="187" t="str">
        <f>_xlfn.IFNA(VLOOKUP(AO49,'Bases - Cadastro'!$A$37:$B$62,2,0),"")</f>
        <v/>
      </c>
      <c r="AS49" s="97"/>
      <c r="AT49" s="98"/>
      <c r="AU49" s="92"/>
      <c r="AV49" s="93"/>
      <c r="AW49" s="93"/>
      <c r="AX49" s="93"/>
      <c r="AY49" s="93"/>
      <c r="AZ49" s="93"/>
      <c r="BA49" s="94"/>
    </row>
    <row r="50" spans="2:53" ht="14.1" customHeight="1" x14ac:dyDescent="0.25">
      <c r="B50" s="190"/>
      <c r="C50" s="93"/>
      <c r="D50" s="93"/>
      <c r="E50" s="93"/>
      <c r="F50" s="94"/>
      <c r="G50" s="185"/>
      <c r="H50" s="97"/>
      <c r="I50" s="97"/>
      <c r="J50" s="97"/>
      <c r="K50" s="98"/>
      <c r="L50" s="185" t="str">
        <f>IF(G50="","",VLOOKUP($AN$6,'Bases - Cadastro'!A:C,3,0))</f>
        <v/>
      </c>
      <c r="M50" s="97"/>
      <c r="N50" s="97"/>
      <c r="O50" s="97"/>
      <c r="P50" s="98"/>
      <c r="Q50" s="189"/>
      <c r="R50" s="97"/>
      <c r="S50" s="97"/>
      <c r="T50" s="97"/>
      <c r="U50" s="95"/>
      <c r="V50" s="93"/>
      <c r="W50" s="93"/>
      <c r="X50" s="93"/>
      <c r="Y50" s="93"/>
      <c r="Z50" s="94"/>
      <c r="AA50" s="95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4"/>
      <c r="AO50" s="104"/>
      <c r="AP50" s="93"/>
      <c r="AQ50" s="94"/>
      <c r="AR50" s="187" t="str">
        <f>_xlfn.IFNA(VLOOKUP(AO50,'Bases - Cadastro'!$A$37:$B$62,2,0),"")</f>
        <v/>
      </c>
      <c r="AS50" s="97"/>
      <c r="AT50" s="98"/>
      <c r="AU50" s="92"/>
      <c r="AV50" s="93"/>
      <c r="AW50" s="93"/>
      <c r="AX50" s="93"/>
      <c r="AY50" s="93"/>
      <c r="AZ50" s="93"/>
      <c r="BA50" s="94"/>
    </row>
    <row r="51" spans="2:53" ht="14.1" customHeight="1" x14ac:dyDescent="0.25">
      <c r="B51" s="190"/>
      <c r="C51" s="93"/>
      <c r="D51" s="93"/>
      <c r="E51" s="93"/>
      <c r="F51" s="94"/>
      <c r="G51" s="185"/>
      <c r="H51" s="97"/>
      <c r="I51" s="97"/>
      <c r="J51" s="97"/>
      <c r="K51" s="98"/>
      <c r="L51" s="185" t="str">
        <f>IF(G51="","",VLOOKUP($AN$6,'Bases - Cadastro'!A:C,3,0))</f>
        <v/>
      </c>
      <c r="M51" s="97"/>
      <c r="N51" s="97"/>
      <c r="O51" s="97"/>
      <c r="P51" s="98"/>
      <c r="Q51" s="189"/>
      <c r="R51" s="97"/>
      <c r="S51" s="97"/>
      <c r="T51" s="97"/>
      <c r="U51" s="95"/>
      <c r="V51" s="93"/>
      <c r="W51" s="93"/>
      <c r="X51" s="93"/>
      <c r="Y51" s="93"/>
      <c r="Z51" s="94"/>
      <c r="AA51" s="95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4"/>
      <c r="AO51" s="104"/>
      <c r="AP51" s="93"/>
      <c r="AQ51" s="94"/>
      <c r="AR51" s="187" t="str">
        <f>_xlfn.IFNA(VLOOKUP(AO51,'Bases - Cadastro'!$A$37:$B$62,2,0),"")</f>
        <v/>
      </c>
      <c r="AS51" s="97"/>
      <c r="AT51" s="98"/>
      <c r="AU51" s="92"/>
      <c r="AV51" s="93"/>
      <c r="AW51" s="93"/>
      <c r="AX51" s="93"/>
      <c r="AY51" s="93"/>
      <c r="AZ51" s="93"/>
      <c r="BA51" s="94"/>
    </row>
    <row r="52" spans="2:53" ht="14.1" customHeight="1" x14ac:dyDescent="0.25">
      <c r="B52" s="190"/>
      <c r="C52" s="93"/>
      <c r="D52" s="93"/>
      <c r="E52" s="93"/>
      <c r="F52" s="94"/>
      <c r="G52" s="185"/>
      <c r="H52" s="97"/>
      <c r="I52" s="97"/>
      <c r="J52" s="97"/>
      <c r="K52" s="98"/>
      <c r="L52" s="185" t="str">
        <f>IF(G52="","",VLOOKUP($AN$6,'Bases - Cadastro'!A:C,3,0))</f>
        <v/>
      </c>
      <c r="M52" s="97"/>
      <c r="N52" s="97"/>
      <c r="O52" s="97"/>
      <c r="P52" s="98"/>
      <c r="Q52" s="189"/>
      <c r="R52" s="97"/>
      <c r="S52" s="97"/>
      <c r="T52" s="97"/>
      <c r="U52" s="95"/>
      <c r="V52" s="93"/>
      <c r="W52" s="93"/>
      <c r="X52" s="93"/>
      <c r="Y52" s="93"/>
      <c r="Z52" s="94"/>
      <c r="AA52" s="95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4"/>
      <c r="AO52" s="104"/>
      <c r="AP52" s="93"/>
      <c r="AQ52" s="94"/>
      <c r="AR52" s="187" t="str">
        <f>_xlfn.IFNA(VLOOKUP(AO52,'Bases - Cadastro'!$A$37:$B$62,2,0),"")</f>
        <v/>
      </c>
      <c r="AS52" s="97"/>
      <c r="AT52" s="98"/>
      <c r="AU52" s="92"/>
      <c r="AV52" s="93"/>
      <c r="AW52" s="93"/>
      <c r="AX52" s="93"/>
      <c r="AY52" s="93"/>
      <c r="AZ52" s="93"/>
      <c r="BA52" s="94"/>
    </row>
    <row r="53" spans="2:53" ht="14.1" customHeight="1" x14ac:dyDescent="0.25">
      <c r="B53" s="190"/>
      <c r="C53" s="93"/>
      <c r="D53" s="93"/>
      <c r="E53" s="93"/>
      <c r="F53" s="94"/>
      <c r="G53" s="185"/>
      <c r="H53" s="97"/>
      <c r="I53" s="97"/>
      <c r="J53" s="97"/>
      <c r="K53" s="98"/>
      <c r="L53" s="185" t="str">
        <f>IF(G53="","",VLOOKUP($AN$6,'Bases - Cadastro'!A:C,3,0))</f>
        <v/>
      </c>
      <c r="M53" s="97"/>
      <c r="N53" s="97"/>
      <c r="O53" s="97"/>
      <c r="P53" s="98"/>
      <c r="Q53" s="189"/>
      <c r="R53" s="97"/>
      <c r="S53" s="97"/>
      <c r="T53" s="97"/>
      <c r="U53" s="95"/>
      <c r="V53" s="93"/>
      <c r="W53" s="93"/>
      <c r="X53" s="93"/>
      <c r="Y53" s="93"/>
      <c r="Z53" s="94"/>
      <c r="AA53" s="95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4"/>
      <c r="AO53" s="104"/>
      <c r="AP53" s="93"/>
      <c r="AQ53" s="94"/>
      <c r="AR53" s="187" t="str">
        <f>_xlfn.IFNA(VLOOKUP(AO53,'Bases - Cadastro'!$A$37:$B$62,2,0),"")</f>
        <v/>
      </c>
      <c r="AS53" s="97"/>
      <c r="AT53" s="98"/>
      <c r="AU53" s="92"/>
      <c r="AV53" s="93"/>
      <c r="AW53" s="93"/>
      <c r="AX53" s="93"/>
      <c r="AY53" s="93"/>
      <c r="AZ53" s="93"/>
      <c r="BA53" s="94"/>
    </row>
    <row r="54" spans="2:53" ht="14.1" customHeight="1" x14ac:dyDescent="0.25">
      <c r="B54" s="190"/>
      <c r="C54" s="93"/>
      <c r="D54" s="93"/>
      <c r="E54" s="93"/>
      <c r="F54" s="94"/>
      <c r="G54" s="185"/>
      <c r="H54" s="97"/>
      <c r="I54" s="97"/>
      <c r="J54" s="97"/>
      <c r="K54" s="98"/>
      <c r="L54" s="185" t="str">
        <f>IF(G54="","",VLOOKUP($AN$6,'Bases - Cadastro'!A:C,3,0))</f>
        <v/>
      </c>
      <c r="M54" s="97"/>
      <c r="N54" s="97"/>
      <c r="O54" s="97"/>
      <c r="P54" s="98"/>
      <c r="Q54" s="189"/>
      <c r="R54" s="97"/>
      <c r="S54" s="97"/>
      <c r="T54" s="97"/>
      <c r="U54" s="95"/>
      <c r="V54" s="93"/>
      <c r="W54" s="93"/>
      <c r="X54" s="93"/>
      <c r="Y54" s="93"/>
      <c r="Z54" s="94"/>
      <c r="AA54" s="95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4"/>
      <c r="AO54" s="104"/>
      <c r="AP54" s="93"/>
      <c r="AQ54" s="94"/>
      <c r="AR54" s="187" t="str">
        <f>_xlfn.IFNA(VLOOKUP(AO54,'Bases - Cadastro'!$A$37:$B$62,2,0),"")</f>
        <v/>
      </c>
      <c r="AS54" s="97"/>
      <c r="AT54" s="98"/>
      <c r="AU54" s="92"/>
      <c r="AV54" s="93"/>
      <c r="AW54" s="93"/>
      <c r="AX54" s="93"/>
      <c r="AY54" s="93"/>
      <c r="AZ54" s="93"/>
      <c r="BA54" s="94"/>
    </row>
    <row r="55" spans="2:53" ht="14.1" customHeight="1" x14ac:dyDescent="0.25">
      <c r="B55" s="190"/>
      <c r="C55" s="93"/>
      <c r="D55" s="93"/>
      <c r="E55" s="93"/>
      <c r="F55" s="94"/>
      <c r="G55" s="185"/>
      <c r="H55" s="97"/>
      <c r="I55" s="97"/>
      <c r="J55" s="97"/>
      <c r="K55" s="98"/>
      <c r="L55" s="185" t="str">
        <f>IF(G55="","",VLOOKUP($AN$6,'Bases - Cadastro'!A:C,3,0))</f>
        <v/>
      </c>
      <c r="M55" s="97"/>
      <c r="N55" s="97"/>
      <c r="O55" s="97"/>
      <c r="P55" s="98"/>
      <c r="Q55" s="189"/>
      <c r="R55" s="97"/>
      <c r="S55" s="97"/>
      <c r="T55" s="97"/>
      <c r="U55" s="95"/>
      <c r="V55" s="93"/>
      <c r="W55" s="93"/>
      <c r="X55" s="93"/>
      <c r="Y55" s="93"/>
      <c r="Z55" s="94"/>
      <c r="AA55" s="95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4"/>
      <c r="AO55" s="104"/>
      <c r="AP55" s="93"/>
      <c r="AQ55" s="94"/>
      <c r="AR55" s="187" t="str">
        <f>_xlfn.IFNA(VLOOKUP(AO55,'Bases - Cadastro'!$A$37:$B$62,2,0),"")</f>
        <v/>
      </c>
      <c r="AS55" s="97"/>
      <c r="AT55" s="98"/>
      <c r="AU55" s="92"/>
      <c r="AV55" s="93"/>
      <c r="AW55" s="93"/>
      <c r="AX55" s="93"/>
      <c r="AY55" s="93"/>
      <c r="AZ55" s="93"/>
      <c r="BA55" s="94"/>
    </row>
    <row r="56" spans="2:53" ht="14.1" customHeight="1" x14ac:dyDescent="0.25">
      <c r="B56" s="190"/>
      <c r="C56" s="93"/>
      <c r="D56" s="93"/>
      <c r="E56" s="93"/>
      <c r="F56" s="94"/>
      <c r="G56" s="185"/>
      <c r="H56" s="97"/>
      <c r="I56" s="97"/>
      <c r="J56" s="97"/>
      <c r="K56" s="98"/>
      <c r="L56" s="185" t="str">
        <f>IF(G56="","",VLOOKUP($AN$6,'Bases - Cadastro'!A:C,3,0))</f>
        <v/>
      </c>
      <c r="M56" s="97"/>
      <c r="N56" s="97"/>
      <c r="O56" s="97"/>
      <c r="P56" s="98"/>
      <c r="Q56" s="189"/>
      <c r="R56" s="97"/>
      <c r="S56" s="97"/>
      <c r="T56" s="97"/>
      <c r="U56" s="95"/>
      <c r="V56" s="93"/>
      <c r="W56" s="93"/>
      <c r="X56" s="93"/>
      <c r="Y56" s="93"/>
      <c r="Z56" s="94"/>
      <c r="AA56" s="139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4"/>
      <c r="AO56" s="104"/>
      <c r="AP56" s="93"/>
      <c r="AQ56" s="94"/>
      <c r="AR56" s="187" t="str">
        <f>_xlfn.IFNA(VLOOKUP(AO56,'Bases - Cadastro'!$A$37:$B$62,2,0),"")</f>
        <v/>
      </c>
      <c r="AS56" s="97"/>
      <c r="AT56" s="98"/>
      <c r="AU56" s="92"/>
      <c r="AV56" s="93"/>
      <c r="AW56" s="93"/>
      <c r="AX56" s="93"/>
      <c r="AY56" s="93"/>
      <c r="AZ56" s="93"/>
      <c r="BA56" s="94"/>
    </row>
    <row r="57" spans="2:53" ht="14.1" customHeight="1" x14ac:dyDescent="0.25">
      <c r="B57" s="190"/>
      <c r="C57" s="93"/>
      <c r="D57" s="93"/>
      <c r="E57" s="93"/>
      <c r="F57" s="94"/>
      <c r="G57" s="185"/>
      <c r="H57" s="97"/>
      <c r="I57" s="97"/>
      <c r="J57" s="97"/>
      <c r="K57" s="98"/>
      <c r="L57" s="185" t="str">
        <f>IF(G57="","",VLOOKUP($AN$6,'Bases - Cadastro'!A:C,3,0))</f>
        <v/>
      </c>
      <c r="M57" s="97"/>
      <c r="N57" s="97"/>
      <c r="O57" s="97"/>
      <c r="P57" s="98"/>
      <c r="Q57" s="189"/>
      <c r="R57" s="97"/>
      <c r="S57" s="97"/>
      <c r="T57" s="97"/>
      <c r="U57" s="95"/>
      <c r="V57" s="93"/>
      <c r="W57" s="93"/>
      <c r="X57" s="93"/>
      <c r="Y57" s="93"/>
      <c r="Z57" s="94"/>
      <c r="AA57" s="95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4"/>
      <c r="AO57" s="104"/>
      <c r="AP57" s="93"/>
      <c r="AQ57" s="94"/>
      <c r="AR57" s="187" t="str">
        <f>_xlfn.IFNA(VLOOKUP(AO57,'Bases - Cadastro'!$A$37:$B$62,2,0),"")</f>
        <v/>
      </c>
      <c r="AS57" s="97"/>
      <c r="AT57" s="98"/>
      <c r="AU57" s="92"/>
      <c r="AV57" s="93"/>
      <c r="AW57" s="93"/>
      <c r="AX57" s="93"/>
      <c r="AY57" s="93"/>
      <c r="AZ57" s="93"/>
      <c r="BA57" s="94"/>
    </row>
    <row r="58" spans="2:53" ht="14.1" customHeight="1" x14ac:dyDescent="0.25">
      <c r="B58" s="190"/>
      <c r="C58" s="93"/>
      <c r="D58" s="93"/>
      <c r="E58" s="93"/>
      <c r="F58" s="94"/>
      <c r="G58" s="185"/>
      <c r="H58" s="97"/>
      <c r="I58" s="97"/>
      <c r="J58" s="97"/>
      <c r="K58" s="98"/>
      <c r="L58" s="185" t="str">
        <f>IF(G58="","",VLOOKUP($AN$6,'Bases - Cadastro'!A:C,3,0))</f>
        <v/>
      </c>
      <c r="M58" s="97"/>
      <c r="N58" s="97"/>
      <c r="O58" s="97"/>
      <c r="P58" s="98"/>
      <c r="Q58" s="189"/>
      <c r="R58" s="97"/>
      <c r="S58" s="97"/>
      <c r="T58" s="97"/>
      <c r="U58" s="95"/>
      <c r="V58" s="93"/>
      <c r="W58" s="93"/>
      <c r="X58" s="93"/>
      <c r="Y58" s="93"/>
      <c r="Z58" s="94"/>
      <c r="AA58" s="95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4"/>
      <c r="AO58" s="104"/>
      <c r="AP58" s="93"/>
      <c r="AQ58" s="94"/>
      <c r="AR58" s="187" t="str">
        <f>_xlfn.IFNA(VLOOKUP(AO58,'Bases - Cadastro'!$A$37:$B$62,2,0),"")</f>
        <v/>
      </c>
      <c r="AS58" s="97"/>
      <c r="AT58" s="98"/>
      <c r="AU58" s="92"/>
      <c r="AV58" s="93"/>
      <c r="AW58" s="93"/>
      <c r="AX58" s="93"/>
      <c r="AY58" s="93"/>
      <c r="AZ58" s="93"/>
      <c r="BA58" s="94"/>
    </row>
    <row r="59" spans="2:53" ht="14.1" customHeight="1" x14ac:dyDescent="0.25">
      <c r="B59" s="190"/>
      <c r="C59" s="93"/>
      <c r="D59" s="93"/>
      <c r="E59" s="93"/>
      <c r="F59" s="94"/>
      <c r="G59" s="185"/>
      <c r="H59" s="97"/>
      <c r="I59" s="97"/>
      <c r="J59" s="97"/>
      <c r="K59" s="98"/>
      <c r="L59" s="185" t="str">
        <f>IF(G59="","",VLOOKUP($AN$6,'Bases - Cadastro'!A:C,3,0))</f>
        <v/>
      </c>
      <c r="M59" s="97"/>
      <c r="N59" s="97"/>
      <c r="O59" s="97"/>
      <c r="P59" s="98"/>
      <c r="Q59" s="189"/>
      <c r="R59" s="97"/>
      <c r="S59" s="97"/>
      <c r="T59" s="97"/>
      <c r="U59" s="95"/>
      <c r="V59" s="93"/>
      <c r="W59" s="93"/>
      <c r="X59" s="93"/>
      <c r="Y59" s="93"/>
      <c r="Z59" s="94"/>
      <c r="AA59" s="95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4"/>
      <c r="AO59" s="104"/>
      <c r="AP59" s="93"/>
      <c r="AQ59" s="94"/>
      <c r="AR59" s="187" t="str">
        <f>_xlfn.IFNA(VLOOKUP(AO59,'Bases - Cadastro'!$A$37:$B$62,2,0),"")</f>
        <v/>
      </c>
      <c r="AS59" s="97"/>
      <c r="AT59" s="98"/>
      <c r="AU59" s="184"/>
      <c r="AV59" s="93"/>
      <c r="AW59" s="93"/>
      <c r="AX59" s="93"/>
      <c r="AY59" s="93"/>
      <c r="AZ59" s="93"/>
      <c r="BA59" s="94"/>
    </row>
    <row r="60" spans="2:53" ht="14.1" customHeight="1" x14ac:dyDescent="0.25">
      <c r="B60" s="190"/>
      <c r="C60" s="93"/>
      <c r="D60" s="93"/>
      <c r="E60" s="93"/>
      <c r="F60" s="94"/>
      <c r="G60" s="185"/>
      <c r="H60" s="97"/>
      <c r="I60" s="97"/>
      <c r="J60" s="97"/>
      <c r="K60" s="98"/>
      <c r="L60" s="185" t="str">
        <f>IF(G60="","",VLOOKUP($AN$6,'Bases - Cadastro'!A:C,3,0))</f>
        <v/>
      </c>
      <c r="M60" s="97"/>
      <c r="N60" s="97"/>
      <c r="O60" s="97"/>
      <c r="P60" s="98"/>
      <c r="Q60" s="189"/>
      <c r="R60" s="97"/>
      <c r="S60" s="97"/>
      <c r="T60" s="97"/>
      <c r="U60" s="95"/>
      <c r="V60" s="93"/>
      <c r="W60" s="93"/>
      <c r="X60" s="93"/>
      <c r="Y60" s="93"/>
      <c r="Z60" s="94"/>
      <c r="AA60" s="95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4"/>
      <c r="AO60" s="104"/>
      <c r="AP60" s="93"/>
      <c r="AQ60" s="94"/>
      <c r="AR60" s="187" t="str">
        <f>_xlfn.IFNA(VLOOKUP(AO60,'Bases - Cadastro'!$A$37:$B$62,2,0),"")</f>
        <v/>
      </c>
      <c r="AS60" s="97"/>
      <c r="AT60" s="98"/>
      <c r="AU60" s="184"/>
      <c r="AV60" s="93"/>
      <c r="AW60" s="93"/>
      <c r="AX60" s="93"/>
      <c r="AY60" s="93"/>
      <c r="AZ60" s="93"/>
      <c r="BA60" s="94"/>
    </row>
    <row r="61" spans="2:53" ht="14.1" customHeight="1" x14ac:dyDescent="0.25">
      <c r="B61" s="190"/>
      <c r="C61" s="93"/>
      <c r="D61" s="93"/>
      <c r="E61" s="93"/>
      <c r="F61" s="94"/>
      <c r="G61" s="185"/>
      <c r="H61" s="97"/>
      <c r="I61" s="97"/>
      <c r="J61" s="97"/>
      <c r="K61" s="98"/>
      <c r="L61" s="185" t="str">
        <f>IF(G61="","",VLOOKUP($AN$6,'Bases - Cadastro'!A:C,3,0))</f>
        <v/>
      </c>
      <c r="M61" s="97"/>
      <c r="N61" s="97"/>
      <c r="O61" s="97"/>
      <c r="P61" s="98"/>
      <c r="Q61" s="189"/>
      <c r="R61" s="97"/>
      <c r="S61" s="97"/>
      <c r="T61" s="97"/>
      <c r="U61" s="95"/>
      <c r="V61" s="93"/>
      <c r="W61" s="93"/>
      <c r="X61" s="93"/>
      <c r="Y61" s="93"/>
      <c r="Z61" s="94"/>
      <c r="AA61" s="95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4"/>
      <c r="AO61" s="104"/>
      <c r="AP61" s="93"/>
      <c r="AQ61" s="94"/>
      <c r="AR61" s="187" t="str">
        <f>_xlfn.IFNA(VLOOKUP(AO61,'Bases - Cadastro'!$A$37:$B$62,2,0),"")</f>
        <v/>
      </c>
      <c r="AS61" s="97"/>
      <c r="AT61" s="98"/>
      <c r="AU61" s="184"/>
      <c r="AV61" s="93"/>
      <c r="AW61" s="93"/>
      <c r="AX61" s="93"/>
      <c r="AY61" s="93"/>
      <c r="AZ61" s="93"/>
      <c r="BA61" s="94"/>
    </row>
    <row r="62" spans="2:53" ht="14.1" customHeight="1" x14ac:dyDescent="0.25">
      <c r="B62" s="190"/>
      <c r="C62" s="93"/>
      <c r="D62" s="93"/>
      <c r="E62" s="93"/>
      <c r="F62" s="94"/>
      <c r="G62" s="185"/>
      <c r="H62" s="97"/>
      <c r="I62" s="97"/>
      <c r="J62" s="97"/>
      <c r="K62" s="98"/>
      <c r="L62" s="185" t="str">
        <f>IF(G62="","",VLOOKUP($AN$6,'Bases - Cadastro'!A:C,3,0))</f>
        <v/>
      </c>
      <c r="M62" s="97"/>
      <c r="N62" s="97"/>
      <c r="O62" s="97"/>
      <c r="P62" s="98"/>
      <c r="Q62" s="189"/>
      <c r="R62" s="97"/>
      <c r="S62" s="97"/>
      <c r="T62" s="97"/>
      <c r="U62" s="95"/>
      <c r="V62" s="93"/>
      <c r="W62" s="93"/>
      <c r="X62" s="93"/>
      <c r="Y62" s="93"/>
      <c r="Z62" s="94"/>
      <c r="AA62" s="95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4"/>
      <c r="AO62" s="104"/>
      <c r="AP62" s="93"/>
      <c r="AQ62" s="94"/>
      <c r="AR62" s="187" t="str">
        <f>_xlfn.IFNA(VLOOKUP(AO62,'Bases - Cadastro'!$A$37:$B$62,2,0),"")</f>
        <v/>
      </c>
      <c r="AS62" s="97"/>
      <c r="AT62" s="98"/>
      <c r="AU62" s="184"/>
      <c r="AV62" s="93"/>
      <c r="AW62" s="93"/>
      <c r="AX62" s="93"/>
      <c r="AY62" s="93"/>
      <c r="AZ62" s="93"/>
      <c r="BA62" s="94"/>
    </row>
    <row r="63" spans="2:53" ht="14.1" customHeight="1" x14ac:dyDescent="0.25">
      <c r="B63" s="190"/>
      <c r="C63" s="93"/>
      <c r="D63" s="93"/>
      <c r="E63" s="93"/>
      <c r="F63" s="94"/>
      <c r="G63" s="185"/>
      <c r="H63" s="97"/>
      <c r="I63" s="97"/>
      <c r="J63" s="97"/>
      <c r="K63" s="98"/>
      <c r="L63" s="185" t="str">
        <f>IF(G63="","",VLOOKUP($AN$6,'Bases - Cadastro'!A:C,3,0))</f>
        <v/>
      </c>
      <c r="M63" s="97"/>
      <c r="N63" s="97"/>
      <c r="O63" s="97"/>
      <c r="P63" s="98"/>
      <c r="Q63" s="194"/>
      <c r="R63" s="93"/>
      <c r="S63" s="93"/>
      <c r="T63" s="94"/>
      <c r="U63" s="95"/>
      <c r="V63" s="93"/>
      <c r="W63" s="93"/>
      <c r="X63" s="93"/>
      <c r="Y63" s="93"/>
      <c r="Z63" s="94"/>
      <c r="AA63" s="95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4"/>
      <c r="AO63" s="104"/>
      <c r="AP63" s="93"/>
      <c r="AQ63" s="94"/>
      <c r="AR63" s="187" t="str">
        <f>_xlfn.IFNA(VLOOKUP(AO63,'Bases - Cadastro'!$A$37:$B$62,2,0),"")</f>
        <v/>
      </c>
      <c r="AS63" s="97"/>
      <c r="AT63" s="98"/>
      <c r="AU63" s="184"/>
      <c r="AV63" s="93"/>
      <c r="AW63" s="93"/>
      <c r="AX63" s="93"/>
      <c r="AY63" s="93"/>
      <c r="AZ63" s="93"/>
      <c r="BA63" s="94"/>
    </row>
    <row r="64" spans="2:53" ht="14.1" customHeight="1" x14ac:dyDescent="0.25">
      <c r="B64" s="190"/>
      <c r="C64" s="93"/>
      <c r="D64" s="93"/>
      <c r="E64" s="93"/>
      <c r="F64" s="94"/>
      <c r="G64" s="185"/>
      <c r="H64" s="97"/>
      <c r="I64" s="97"/>
      <c r="J64" s="97"/>
      <c r="K64" s="98"/>
      <c r="L64" s="185" t="str">
        <f>IF(G64="","",VLOOKUP($AN$6,'Bases - Cadastro'!A:C,3,0))</f>
        <v/>
      </c>
      <c r="M64" s="97"/>
      <c r="N64" s="97"/>
      <c r="O64" s="97"/>
      <c r="P64" s="98"/>
      <c r="Q64" s="194"/>
      <c r="R64" s="93"/>
      <c r="S64" s="93"/>
      <c r="T64" s="94"/>
      <c r="U64" s="95"/>
      <c r="V64" s="93"/>
      <c r="W64" s="93"/>
      <c r="X64" s="93"/>
      <c r="Y64" s="93"/>
      <c r="Z64" s="94"/>
      <c r="AA64" s="95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4"/>
      <c r="AO64" s="104"/>
      <c r="AP64" s="93"/>
      <c r="AQ64" s="94"/>
      <c r="AR64" s="187" t="str">
        <f>_xlfn.IFNA(VLOOKUP(AO64,'Bases - Cadastro'!$A$37:$B$62,2,0),"")</f>
        <v/>
      </c>
      <c r="AS64" s="97"/>
      <c r="AT64" s="98"/>
      <c r="AU64" s="184"/>
      <c r="AV64" s="93"/>
      <c r="AW64" s="93"/>
      <c r="AX64" s="93"/>
      <c r="AY64" s="93"/>
      <c r="AZ64" s="93"/>
      <c r="BA64" s="94"/>
    </row>
    <row r="65" spans="2:57" ht="14.1" customHeight="1" x14ac:dyDescent="0.25">
      <c r="B65" s="190"/>
      <c r="C65" s="93"/>
      <c r="D65" s="93"/>
      <c r="E65" s="93"/>
      <c r="F65" s="94"/>
      <c r="G65" s="185"/>
      <c r="H65" s="97"/>
      <c r="I65" s="97"/>
      <c r="J65" s="97"/>
      <c r="K65" s="98"/>
      <c r="L65" s="185" t="str">
        <f>IF(G65="","",VLOOKUP($AN$6,'Bases - Cadastro'!A:C,3,0))</f>
        <v/>
      </c>
      <c r="M65" s="97"/>
      <c r="N65" s="97"/>
      <c r="O65" s="97"/>
      <c r="P65" s="98"/>
      <c r="Q65" s="194"/>
      <c r="R65" s="93"/>
      <c r="S65" s="93"/>
      <c r="T65" s="94"/>
      <c r="U65" s="95"/>
      <c r="V65" s="93"/>
      <c r="W65" s="93"/>
      <c r="X65" s="93"/>
      <c r="Y65" s="93"/>
      <c r="Z65" s="94"/>
      <c r="AA65" s="95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4"/>
      <c r="AO65" s="104"/>
      <c r="AP65" s="93"/>
      <c r="AQ65" s="94"/>
      <c r="AR65" s="187" t="str">
        <f>_xlfn.IFNA(VLOOKUP(AO65,'Bases - Cadastro'!$A$37:$B$62,2,0),"")</f>
        <v/>
      </c>
      <c r="AS65" s="97"/>
      <c r="AT65" s="98"/>
      <c r="AU65" s="184"/>
      <c r="AV65" s="93"/>
      <c r="AW65" s="93"/>
      <c r="AX65" s="93"/>
      <c r="AY65" s="93"/>
      <c r="AZ65" s="93"/>
      <c r="BA65" s="94"/>
    </row>
    <row r="66" spans="2:57" ht="14.1" customHeight="1" x14ac:dyDescent="0.25">
      <c r="B66" s="190"/>
      <c r="C66" s="93"/>
      <c r="D66" s="93"/>
      <c r="E66" s="93"/>
      <c r="F66" s="94"/>
      <c r="G66" s="185"/>
      <c r="H66" s="97"/>
      <c r="I66" s="97"/>
      <c r="J66" s="97"/>
      <c r="K66" s="98"/>
      <c r="L66" s="185" t="str">
        <f>IF(G66="","",VLOOKUP($AN$6,'Bases - Cadastro'!A:C,3,0))</f>
        <v/>
      </c>
      <c r="M66" s="97"/>
      <c r="N66" s="97"/>
      <c r="O66" s="97"/>
      <c r="P66" s="98"/>
      <c r="Q66" s="194"/>
      <c r="R66" s="93"/>
      <c r="S66" s="93"/>
      <c r="T66" s="94"/>
      <c r="U66" s="95"/>
      <c r="V66" s="93"/>
      <c r="W66" s="93"/>
      <c r="X66" s="93"/>
      <c r="Y66" s="93"/>
      <c r="Z66" s="94"/>
      <c r="AA66" s="95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4"/>
      <c r="AO66" s="104"/>
      <c r="AP66" s="93"/>
      <c r="AQ66" s="94"/>
      <c r="AR66" s="187" t="str">
        <f>_xlfn.IFNA(VLOOKUP(AO66,'Bases - Cadastro'!$A$37:$B$62,2,0),"")</f>
        <v/>
      </c>
      <c r="AS66" s="97"/>
      <c r="AT66" s="98"/>
      <c r="AU66" s="184"/>
      <c r="AV66" s="93"/>
      <c r="AW66" s="93"/>
      <c r="AX66" s="93"/>
      <c r="AY66" s="93"/>
      <c r="AZ66" s="93"/>
      <c r="BA66" s="94"/>
    </row>
    <row r="67" spans="2:57" ht="14.1" customHeight="1" x14ac:dyDescent="0.25">
      <c r="B67" s="190"/>
      <c r="C67" s="93"/>
      <c r="D67" s="93"/>
      <c r="E67" s="93"/>
      <c r="F67" s="94"/>
      <c r="G67" s="185"/>
      <c r="H67" s="97"/>
      <c r="I67" s="97"/>
      <c r="J67" s="97"/>
      <c r="K67" s="98"/>
      <c r="L67" s="185" t="str">
        <f>IF(G67="","",VLOOKUP($AN$6,'Bases - Cadastro'!A:C,3,0))</f>
        <v/>
      </c>
      <c r="M67" s="97"/>
      <c r="N67" s="97"/>
      <c r="O67" s="97"/>
      <c r="P67" s="98"/>
      <c r="Q67" s="194"/>
      <c r="R67" s="93"/>
      <c r="S67" s="93"/>
      <c r="T67" s="94"/>
      <c r="U67" s="95"/>
      <c r="V67" s="93"/>
      <c r="W67" s="93"/>
      <c r="X67" s="93"/>
      <c r="Y67" s="93"/>
      <c r="Z67" s="94"/>
      <c r="AA67" s="95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4"/>
      <c r="AO67" s="104"/>
      <c r="AP67" s="93"/>
      <c r="AQ67" s="94"/>
      <c r="AR67" s="187" t="str">
        <f>_xlfn.IFNA(VLOOKUP(AO67,'Bases - Cadastro'!$A$37:$B$62,2,0),"")</f>
        <v/>
      </c>
      <c r="AS67" s="97"/>
      <c r="AT67" s="98"/>
      <c r="AU67" s="184"/>
      <c r="AV67" s="93"/>
      <c r="AW67" s="93"/>
      <c r="AX67" s="93"/>
      <c r="AY67" s="93"/>
      <c r="AZ67" s="93"/>
      <c r="BA67" s="94"/>
    </row>
    <row r="68" spans="2:57" ht="14.1" customHeight="1" x14ac:dyDescent="0.25">
      <c r="B68" s="190"/>
      <c r="C68" s="93"/>
      <c r="D68" s="93"/>
      <c r="E68" s="93"/>
      <c r="F68" s="94"/>
      <c r="G68" s="185"/>
      <c r="H68" s="97"/>
      <c r="I68" s="97"/>
      <c r="J68" s="97"/>
      <c r="K68" s="98"/>
      <c r="L68" s="185" t="str">
        <f>IF(G68="","",VLOOKUP($AN$6,'Bases - Cadastro'!A:C,3,0))</f>
        <v/>
      </c>
      <c r="M68" s="97"/>
      <c r="N68" s="97"/>
      <c r="O68" s="97"/>
      <c r="P68" s="98"/>
      <c r="Q68" s="194"/>
      <c r="R68" s="93"/>
      <c r="S68" s="93"/>
      <c r="T68" s="94"/>
      <c r="U68" s="95"/>
      <c r="V68" s="93"/>
      <c r="W68" s="93"/>
      <c r="X68" s="93"/>
      <c r="Y68" s="93"/>
      <c r="Z68" s="94"/>
      <c r="AA68" s="95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4"/>
      <c r="AO68" s="104"/>
      <c r="AP68" s="93"/>
      <c r="AQ68" s="94"/>
      <c r="AR68" s="187" t="str">
        <f>_xlfn.IFNA(VLOOKUP(AO68,'Bases - Cadastro'!$A$37:$B$62,2,0),"")</f>
        <v/>
      </c>
      <c r="AS68" s="97"/>
      <c r="AT68" s="98"/>
      <c r="AU68" s="184"/>
      <c r="AV68" s="93"/>
      <c r="AW68" s="93"/>
      <c r="AX68" s="93"/>
      <c r="AY68" s="93"/>
      <c r="AZ68" s="93"/>
      <c r="BA68" s="94"/>
    </row>
    <row r="69" spans="2:57" ht="14.1" customHeight="1" x14ac:dyDescent="0.25">
      <c r="B69" s="190"/>
      <c r="C69" s="93"/>
      <c r="D69" s="93"/>
      <c r="E69" s="93"/>
      <c r="F69" s="94"/>
      <c r="G69" s="185"/>
      <c r="H69" s="97"/>
      <c r="I69" s="97"/>
      <c r="J69" s="97"/>
      <c r="K69" s="98"/>
      <c r="L69" s="185" t="str">
        <f>IF(G69="","",VLOOKUP($AN$6,'Bases - Cadastro'!A:C,3,0))</f>
        <v/>
      </c>
      <c r="M69" s="97"/>
      <c r="N69" s="97"/>
      <c r="O69" s="97"/>
      <c r="P69" s="98"/>
      <c r="Q69" s="194"/>
      <c r="R69" s="93"/>
      <c r="S69" s="93"/>
      <c r="T69" s="94"/>
      <c r="U69" s="95"/>
      <c r="V69" s="93"/>
      <c r="W69" s="93"/>
      <c r="X69" s="93"/>
      <c r="Y69" s="93"/>
      <c r="Z69" s="94"/>
      <c r="AA69" s="95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4"/>
      <c r="AO69" s="104"/>
      <c r="AP69" s="93"/>
      <c r="AQ69" s="94"/>
      <c r="AR69" s="187" t="str">
        <f>_xlfn.IFNA(VLOOKUP(AO69,'Bases - Cadastro'!$A$37:$B$62,2,0),"")</f>
        <v/>
      </c>
      <c r="AS69" s="97"/>
      <c r="AT69" s="98"/>
      <c r="AU69" s="184"/>
      <c r="AV69" s="93"/>
      <c r="AW69" s="93"/>
      <c r="AX69" s="93"/>
      <c r="AY69" s="93"/>
      <c r="AZ69" s="93"/>
      <c r="BA69" s="94"/>
    </row>
    <row r="70" spans="2:57" ht="14.1" customHeight="1" x14ac:dyDescent="0.25">
      <c r="B70" s="190"/>
      <c r="C70" s="93"/>
      <c r="D70" s="93"/>
      <c r="E70" s="93"/>
      <c r="F70" s="94"/>
      <c r="G70" s="185"/>
      <c r="H70" s="97"/>
      <c r="I70" s="97"/>
      <c r="J70" s="97"/>
      <c r="K70" s="98"/>
      <c r="L70" s="185" t="str">
        <f>IF(G70="","",VLOOKUP($AN$6,'Bases - Cadastro'!A:C,3,0))</f>
        <v/>
      </c>
      <c r="M70" s="97"/>
      <c r="N70" s="97"/>
      <c r="O70" s="97"/>
      <c r="P70" s="98"/>
      <c r="Q70" s="194"/>
      <c r="R70" s="93"/>
      <c r="S70" s="93"/>
      <c r="T70" s="94"/>
      <c r="U70" s="95"/>
      <c r="V70" s="93"/>
      <c r="W70" s="93"/>
      <c r="X70" s="93"/>
      <c r="Y70" s="93"/>
      <c r="Z70" s="94"/>
      <c r="AA70" s="139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4"/>
      <c r="AO70" s="104"/>
      <c r="AP70" s="93"/>
      <c r="AQ70" s="94"/>
      <c r="AR70" s="187" t="str">
        <f>_xlfn.IFNA(VLOOKUP(AO70,'Bases - Cadastro'!$A$37:$B$62,2,0),"")</f>
        <v/>
      </c>
      <c r="AS70" s="97"/>
      <c r="AT70" s="98"/>
      <c r="AU70" s="184"/>
      <c r="AV70" s="93"/>
      <c r="AW70" s="93"/>
      <c r="AX70" s="93"/>
      <c r="AY70" s="93"/>
      <c r="AZ70" s="93"/>
      <c r="BA70" s="94"/>
    </row>
    <row r="71" spans="2:57" ht="14.1" customHeight="1" x14ac:dyDescent="0.25">
      <c r="B71" s="190"/>
      <c r="C71" s="93"/>
      <c r="D71" s="93"/>
      <c r="E71" s="93"/>
      <c r="F71" s="94"/>
      <c r="G71" s="185"/>
      <c r="H71" s="97"/>
      <c r="I71" s="97"/>
      <c r="J71" s="97"/>
      <c r="K71" s="98"/>
      <c r="L71" s="185" t="str">
        <f>IF(G71="","",VLOOKUP($AN$6,'Bases - Cadastro'!A:C,3,0))</f>
        <v/>
      </c>
      <c r="M71" s="97"/>
      <c r="N71" s="97"/>
      <c r="O71" s="97"/>
      <c r="P71" s="98"/>
      <c r="Q71" s="194"/>
      <c r="R71" s="93"/>
      <c r="S71" s="93"/>
      <c r="T71" s="94"/>
      <c r="U71" s="95"/>
      <c r="V71" s="93"/>
      <c r="W71" s="93"/>
      <c r="X71" s="93"/>
      <c r="Y71" s="93"/>
      <c r="Z71" s="94"/>
      <c r="AA71" s="95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4"/>
      <c r="AO71" s="104"/>
      <c r="AP71" s="93"/>
      <c r="AQ71" s="94"/>
      <c r="AR71" s="187" t="str">
        <f>_xlfn.IFNA(VLOOKUP(AO71,'Bases - Cadastro'!$A$37:$B$62,2,0),"")</f>
        <v/>
      </c>
      <c r="AS71" s="97"/>
      <c r="AT71" s="98"/>
      <c r="AU71" s="184"/>
      <c r="AV71" s="93"/>
      <c r="AW71" s="93"/>
      <c r="AX71" s="93"/>
      <c r="AY71" s="93"/>
      <c r="AZ71" s="93"/>
      <c r="BA71" s="94"/>
    </row>
    <row r="72" spans="2:57" ht="14.1" customHeight="1" x14ac:dyDescent="0.25">
      <c r="B72" s="190"/>
      <c r="C72" s="93"/>
      <c r="D72" s="93"/>
      <c r="E72" s="93"/>
      <c r="F72" s="94"/>
      <c r="G72" s="185"/>
      <c r="H72" s="97"/>
      <c r="I72" s="97"/>
      <c r="J72" s="97"/>
      <c r="K72" s="98"/>
      <c r="L72" s="185" t="str">
        <f>IF(G72="","",VLOOKUP($AN$6,'Bases - Cadastro'!A:C,3,0))</f>
        <v/>
      </c>
      <c r="M72" s="97"/>
      <c r="N72" s="97"/>
      <c r="O72" s="97"/>
      <c r="P72" s="98"/>
      <c r="Q72" s="194"/>
      <c r="R72" s="93"/>
      <c r="S72" s="93"/>
      <c r="T72" s="94"/>
      <c r="U72" s="95"/>
      <c r="V72" s="93"/>
      <c r="W72" s="93"/>
      <c r="X72" s="93"/>
      <c r="Y72" s="93"/>
      <c r="Z72" s="94"/>
      <c r="AA72" s="95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4"/>
      <c r="AO72" s="104"/>
      <c r="AP72" s="93"/>
      <c r="AQ72" s="94"/>
      <c r="AR72" s="187" t="str">
        <f>_xlfn.IFNA(VLOOKUP(AO72,'Bases - Cadastro'!$A$37:$B$62,2,0),"")</f>
        <v/>
      </c>
      <c r="AS72" s="97"/>
      <c r="AT72" s="98"/>
      <c r="AU72" s="184"/>
      <c r="AV72" s="93"/>
      <c r="AW72" s="93"/>
      <c r="AX72" s="93"/>
      <c r="AY72" s="93"/>
      <c r="AZ72" s="93"/>
      <c r="BA72" s="94"/>
    </row>
    <row r="73" spans="2:57" ht="14.1" customHeight="1" x14ac:dyDescent="0.25">
      <c r="B73" s="190"/>
      <c r="C73" s="93"/>
      <c r="D73" s="93"/>
      <c r="E73" s="93"/>
      <c r="F73" s="94"/>
      <c r="G73" s="185"/>
      <c r="H73" s="97"/>
      <c r="I73" s="97"/>
      <c r="J73" s="97"/>
      <c r="K73" s="98"/>
      <c r="L73" s="185" t="str">
        <f>IF(G73="","",VLOOKUP($AN$6,'Bases - Cadastro'!A:C,3,0))</f>
        <v/>
      </c>
      <c r="M73" s="97"/>
      <c r="N73" s="97"/>
      <c r="O73" s="97"/>
      <c r="P73" s="98"/>
      <c r="Q73" s="194"/>
      <c r="R73" s="93"/>
      <c r="S73" s="93"/>
      <c r="T73" s="94"/>
      <c r="U73" s="95"/>
      <c r="V73" s="93"/>
      <c r="W73" s="93"/>
      <c r="X73" s="93"/>
      <c r="Y73" s="93"/>
      <c r="Z73" s="94"/>
      <c r="AA73" s="95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4"/>
      <c r="AO73" s="104"/>
      <c r="AP73" s="93"/>
      <c r="AQ73" s="94"/>
      <c r="AR73" s="187" t="str">
        <f>_xlfn.IFNA(VLOOKUP(AO73,'Bases - Cadastro'!$A$37:$B$62,2,0),"")</f>
        <v/>
      </c>
      <c r="AS73" s="97"/>
      <c r="AT73" s="98"/>
      <c r="AU73" s="184"/>
      <c r="AV73" s="93"/>
      <c r="AW73" s="93"/>
      <c r="AX73" s="93"/>
      <c r="AY73" s="93"/>
      <c r="AZ73" s="93"/>
      <c r="BA73" s="94"/>
    </row>
    <row r="74" spans="2:57" ht="14.1" customHeight="1" x14ac:dyDescent="0.25">
      <c r="B74" s="190"/>
      <c r="C74" s="93"/>
      <c r="D74" s="93"/>
      <c r="E74" s="93"/>
      <c r="F74" s="94"/>
      <c r="G74" s="185"/>
      <c r="H74" s="97"/>
      <c r="I74" s="97"/>
      <c r="J74" s="97"/>
      <c r="K74" s="98"/>
      <c r="L74" s="185" t="str">
        <f>IF(G74="","",VLOOKUP($AN$6,'Bases - Cadastro'!A:C,3,0))</f>
        <v/>
      </c>
      <c r="M74" s="97"/>
      <c r="N74" s="97"/>
      <c r="O74" s="97"/>
      <c r="P74" s="98"/>
      <c r="Q74" s="194"/>
      <c r="R74" s="93"/>
      <c r="S74" s="93"/>
      <c r="T74" s="94"/>
      <c r="U74" s="95"/>
      <c r="V74" s="93"/>
      <c r="W74" s="93"/>
      <c r="X74" s="93"/>
      <c r="Y74" s="93"/>
      <c r="Z74" s="94"/>
      <c r="AA74" s="139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4"/>
      <c r="AO74" s="104"/>
      <c r="AP74" s="93"/>
      <c r="AQ74" s="94"/>
      <c r="AR74" s="187" t="str">
        <f>_xlfn.IFNA(VLOOKUP(AO74,'Bases - Cadastro'!$A$37:$B$62,2,0),"")</f>
        <v/>
      </c>
      <c r="AS74" s="97"/>
      <c r="AT74" s="98"/>
      <c r="AU74" s="184"/>
      <c r="AV74" s="93"/>
      <c r="AW74" s="93"/>
      <c r="AX74" s="93"/>
      <c r="AY74" s="93"/>
      <c r="AZ74" s="93"/>
      <c r="BA74" s="94"/>
    </row>
    <row r="75" spans="2:57" ht="14.1" customHeight="1" x14ac:dyDescent="0.25">
      <c r="B75" s="190"/>
      <c r="C75" s="93"/>
      <c r="D75" s="93"/>
      <c r="E75" s="93"/>
      <c r="F75" s="94"/>
      <c r="G75" s="185"/>
      <c r="H75" s="97"/>
      <c r="I75" s="97"/>
      <c r="J75" s="97"/>
      <c r="K75" s="98"/>
      <c r="L75" s="185" t="str">
        <f>IF(G75="","",VLOOKUP($AN$6,'Bases - Cadastro'!A:C,3,0))</f>
        <v/>
      </c>
      <c r="M75" s="97"/>
      <c r="N75" s="97"/>
      <c r="O75" s="97"/>
      <c r="P75" s="98"/>
      <c r="Q75" s="194"/>
      <c r="R75" s="93"/>
      <c r="S75" s="93"/>
      <c r="T75" s="94"/>
      <c r="U75" s="95"/>
      <c r="V75" s="93"/>
      <c r="W75" s="93"/>
      <c r="X75" s="93"/>
      <c r="Y75" s="93"/>
      <c r="Z75" s="94"/>
      <c r="AA75" s="95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4"/>
      <c r="AO75" s="104"/>
      <c r="AP75" s="93"/>
      <c r="AQ75" s="94"/>
      <c r="AR75" s="187" t="str">
        <f>_xlfn.IFNA(VLOOKUP(AO75,'Bases - Cadastro'!$A$37:$B$62,2,0),"")</f>
        <v/>
      </c>
      <c r="AS75" s="97"/>
      <c r="AT75" s="98"/>
      <c r="AU75" s="184"/>
      <c r="AV75" s="93"/>
      <c r="AW75" s="93"/>
      <c r="AX75" s="93"/>
      <c r="AY75" s="93"/>
      <c r="AZ75" s="93"/>
      <c r="BA75" s="94"/>
    </row>
    <row r="76" spans="2:57" ht="13.95" customHeight="1" x14ac:dyDescent="0.25">
      <c r="B76" s="190"/>
      <c r="C76" s="93"/>
      <c r="D76" s="93"/>
      <c r="E76" s="93"/>
      <c r="F76" s="94"/>
      <c r="G76" s="185"/>
      <c r="H76" s="97"/>
      <c r="I76" s="97"/>
      <c r="J76" s="97"/>
      <c r="K76" s="98"/>
      <c r="L76" s="185" t="str">
        <f>IF(G76="","",VLOOKUP($AN$6,'Bases - Cadastro'!A:C,3,0))</f>
        <v/>
      </c>
      <c r="M76" s="97"/>
      <c r="N76" s="97"/>
      <c r="O76" s="97"/>
      <c r="P76" s="98"/>
      <c r="Q76" s="194"/>
      <c r="R76" s="93"/>
      <c r="S76" s="93"/>
      <c r="T76" s="94"/>
      <c r="U76" s="95"/>
      <c r="V76" s="93"/>
      <c r="W76" s="93"/>
      <c r="X76" s="93"/>
      <c r="Y76" s="93"/>
      <c r="Z76" s="94"/>
      <c r="AA76" s="95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4"/>
      <c r="AO76" s="104"/>
      <c r="AP76" s="93"/>
      <c r="AQ76" s="94"/>
      <c r="AR76" s="187" t="str">
        <f>_xlfn.IFNA(VLOOKUP(AO76,'Bases - Cadastro'!$A$37:$B$62,2,0),"")</f>
        <v/>
      </c>
      <c r="AS76" s="97"/>
      <c r="AT76" s="98"/>
      <c r="AU76" s="184"/>
      <c r="AV76" s="93"/>
      <c r="AW76" s="93"/>
      <c r="AX76" s="93"/>
      <c r="AY76" s="93"/>
      <c r="AZ76" s="93"/>
      <c r="BA76" s="94"/>
    </row>
    <row r="77" spans="2:57" ht="13.95" customHeight="1" x14ac:dyDescent="0.25">
      <c r="B77" s="190"/>
      <c r="C77" s="93"/>
      <c r="D77" s="93"/>
      <c r="E77" s="93"/>
      <c r="F77" s="94"/>
      <c r="G77" s="185"/>
      <c r="H77" s="97"/>
      <c r="I77" s="97"/>
      <c r="J77" s="97"/>
      <c r="K77" s="98"/>
      <c r="L77" s="185" t="str">
        <f>IF(G77="","",VLOOKUP($AN$6,'Bases - Cadastro'!A:C,3,0))</f>
        <v/>
      </c>
      <c r="M77" s="97"/>
      <c r="N77" s="97"/>
      <c r="O77" s="97"/>
      <c r="P77" s="98"/>
      <c r="Q77" s="194"/>
      <c r="R77" s="93"/>
      <c r="S77" s="93"/>
      <c r="T77" s="94"/>
      <c r="U77" s="95"/>
      <c r="V77" s="93"/>
      <c r="W77" s="93"/>
      <c r="X77" s="93"/>
      <c r="Y77" s="93"/>
      <c r="Z77" s="94"/>
      <c r="AA77" s="95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4"/>
      <c r="AO77" s="104"/>
      <c r="AP77" s="93"/>
      <c r="AQ77" s="94"/>
      <c r="AR77" s="187" t="str">
        <f>_xlfn.IFNA(VLOOKUP(AO77,'Bases - Cadastro'!$A$37:$B$62,2,0),"")</f>
        <v/>
      </c>
      <c r="AS77" s="97"/>
      <c r="AT77" s="98"/>
      <c r="AU77" s="196"/>
      <c r="AV77" s="93"/>
      <c r="AW77" s="93"/>
      <c r="AX77" s="93"/>
      <c r="AY77" s="93"/>
      <c r="AZ77" s="93"/>
      <c r="BA77" s="94"/>
    </row>
    <row r="78" spans="2:57" ht="13.95" customHeight="1" x14ac:dyDescent="0.25">
      <c r="B78" s="190"/>
      <c r="C78" s="93"/>
      <c r="D78" s="93"/>
      <c r="E78" s="93"/>
      <c r="F78" s="94"/>
      <c r="G78" s="185"/>
      <c r="H78" s="97"/>
      <c r="I78" s="97"/>
      <c r="J78" s="97"/>
      <c r="K78" s="98"/>
      <c r="L78" s="185" t="str">
        <f>IF(G78="","",VLOOKUP($AN$6,'Bases - Cadastro'!A:C,3,0))</f>
        <v/>
      </c>
      <c r="M78" s="97"/>
      <c r="N78" s="97"/>
      <c r="O78" s="97"/>
      <c r="P78" s="98"/>
      <c r="Q78" s="194"/>
      <c r="R78" s="93"/>
      <c r="S78" s="93"/>
      <c r="T78" s="94"/>
      <c r="U78" s="95"/>
      <c r="V78" s="93"/>
      <c r="W78" s="93"/>
      <c r="X78" s="93"/>
      <c r="Y78" s="93"/>
      <c r="Z78" s="94"/>
      <c r="AA78" s="95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4"/>
      <c r="AO78" s="104"/>
      <c r="AP78" s="93"/>
      <c r="AQ78" s="94"/>
      <c r="AR78" s="187" t="str">
        <f>_xlfn.IFNA(VLOOKUP(AO78,'Bases - Cadastro'!$A$37:$B$62,2,0),"")</f>
        <v/>
      </c>
      <c r="AS78" s="97"/>
      <c r="AT78" s="98"/>
      <c r="AU78" s="196"/>
      <c r="AV78" s="93"/>
      <c r="AW78" s="93"/>
      <c r="AX78" s="93"/>
      <c r="AY78" s="93"/>
      <c r="AZ78" s="93"/>
      <c r="BA78" s="94"/>
    </row>
    <row r="79" spans="2:57" ht="13.95" customHeight="1" x14ac:dyDescent="0.25">
      <c r="B79" s="190"/>
      <c r="C79" s="93"/>
      <c r="D79" s="93"/>
      <c r="E79" s="93"/>
      <c r="F79" s="94"/>
      <c r="G79" s="185"/>
      <c r="H79" s="97"/>
      <c r="I79" s="97"/>
      <c r="J79" s="97"/>
      <c r="K79" s="98"/>
      <c r="L79" s="185" t="str">
        <f>IF(G79="","",VLOOKUP($AN$6,'Bases - Cadastro'!A:C,3,0))</f>
        <v/>
      </c>
      <c r="M79" s="97"/>
      <c r="N79" s="97"/>
      <c r="O79" s="97"/>
      <c r="P79" s="98"/>
      <c r="Q79" s="194"/>
      <c r="R79" s="93"/>
      <c r="S79" s="93"/>
      <c r="T79" s="94"/>
      <c r="U79" s="95"/>
      <c r="V79" s="93"/>
      <c r="W79" s="93"/>
      <c r="X79" s="93"/>
      <c r="Y79" s="93"/>
      <c r="Z79" s="94"/>
      <c r="AA79" s="95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4"/>
      <c r="AO79" s="104"/>
      <c r="AP79" s="93"/>
      <c r="AQ79" s="94"/>
      <c r="AR79" s="187" t="str">
        <f>_xlfn.IFNA(VLOOKUP(AO79,'Bases - Cadastro'!$A$37:$B$62,2,0),"")</f>
        <v/>
      </c>
      <c r="AS79" s="97"/>
      <c r="AT79" s="98"/>
      <c r="AU79" s="196"/>
      <c r="AV79" s="93"/>
      <c r="AW79" s="93"/>
      <c r="AX79" s="93"/>
      <c r="AY79" s="93"/>
      <c r="AZ79" s="93"/>
      <c r="BA79" s="94"/>
    </row>
    <row r="80" spans="2:57" ht="13.5" customHeight="1" x14ac:dyDescent="0.25">
      <c r="B80" s="203" t="s">
        <v>43</v>
      </c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97"/>
      <c r="AS80" s="97"/>
      <c r="AT80" s="98"/>
      <c r="AU80" s="140">
        <f>SUM(AU30:BA79)</f>
        <v>479.71</v>
      </c>
      <c r="AV80" s="97"/>
      <c r="AW80" s="97"/>
      <c r="AX80" s="97"/>
      <c r="AY80" s="97"/>
      <c r="AZ80" s="97"/>
      <c r="BA80" s="98"/>
      <c r="BE80" s="71"/>
    </row>
    <row r="81" spans="2:53" ht="11.25" customHeight="1" thickBot="1" x14ac:dyDescent="0.3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AE81" s="16"/>
      <c r="AF81" s="36"/>
      <c r="AG81" s="3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37"/>
      <c r="AU81" s="37"/>
      <c r="AV81" s="37"/>
      <c r="AW81" s="37"/>
      <c r="AX81" s="37"/>
      <c r="AY81" s="37"/>
      <c r="AZ81" s="37"/>
      <c r="BA81" s="37"/>
    </row>
    <row r="82" spans="2:53" ht="14.25" customHeight="1" thickBot="1" x14ac:dyDescent="0.3">
      <c r="B82" s="16"/>
      <c r="C82" s="89" t="s">
        <v>44</v>
      </c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21"/>
      <c r="T82" s="21"/>
      <c r="U82" s="89" t="s">
        <v>45</v>
      </c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1"/>
      <c r="AH82" s="38"/>
    </row>
    <row r="83" spans="2:53" ht="14.25" customHeight="1" thickBot="1" x14ac:dyDescent="0.3">
      <c r="B83" s="16"/>
      <c r="C83" s="89" t="s">
        <v>32</v>
      </c>
      <c r="D83" s="90"/>
      <c r="E83" s="90"/>
      <c r="F83" s="90"/>
      <c r="G83" s="91"/>
      <c r="H83" s="89" t="s">
        <v>47</v>
      </c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21"/>
      <c r="T83" s="21"/>
      <c r="U83" s="89" t="s">
        <v>32</v>
      </c>
      <c r="V83" s="91"/>
      <c r="W83" s="89" t="s">
        <v>47</v>
      </c>
      <c r="X83" s="90"/>
      <c r="Y83" s="90"/>
      <c r="Z83" s="90"/>
      <c r="AA83" s="90"/>
      <c r="AB83" s="90"/>
      <c r="AC83" s="90"/>
      <c r="AD83" s="90"/>
      <c r="AE83" s="90"/>
      <c r="AF83" s="90"/>
      <c r="AG83" s="91"/>
      <c r="AH83" s="38"/>
    </row>
    <row r="84" spans="2:53" ht="45" customHeight="1" thickBot="1" x14ac:dyDescent="0.3">
      <c r="B84" s="16"/>
      <c r="C84" s="191">
        <f ca="1">TODAY()</f>
        <v>46064</v>
      </c>
      <c r="D84" s="90"/>
      <c r="E84" s="90"/>
      <c r="F84" s="90"/>
      <c r="G84" s="91"/>
      <c r="H84" s="148"/>
      <c r="I84" s="117"/>
      <c r="J84" s="117"/>
      <c r="K84" s="117"/>
      <c r="L84" s="117"/>
      <c r="M84" s="117"/>
      <c r="N84" s="117"/>
      <c r="O84" s="117"/>
      <c r="P84" s="117"/>
      <c r="Q84" s="117"/>
      <c r="R84" s="118"/>
      <c r="S84" s="16"/>
      <c r="T84" s="16"/>
      <c r="U84" s="122">
        <f ca="1">TODAY()</f>
        <v>46064</v>
      </c>
      <c r="V84" s="118"/>
      <c r="W84" s="123"/>
      <c r="X84" s="117"/>
      <c r="Y84" s="117"/>
      <c r="Z84" s="117"/>
      <c r="AA84" s="117"/>
      <c r="AB84" s="117"/>
      <c r="AC84" s="117"/>
      <c r="AD84" s="117"/>
      <c r="AE84" s="117"/>
      <c r="AF84" s="117"/>
      <c r="AG84" s="118"/>
      <c r="AH84" s="38"/>
    </row>
    <row r="85" spans="2:53" ht="16.5" customHeight="1" x14ac:dyDescent="0.25">
      <c r="B85" s="16"/>
      <c r="C85" s="16"/>
      <c r="D85" s="1"/>
      <c r="E85" s="1"/>
      <c r="F85" s="1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</row>
    <row r="86" spans="2:53" ht="15" customHeight="1" x14ac:dyDescent="0.25">
      <c r="B86" s="39"/>
      <c r="C86" s="40"/>
      <c r="D86" s="41" t="s">
        <v>48</v>
      </c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1" t="s">
        <v>661</v>
      </c>
      <c r="Q86" s="40"/>
      <c r="R86" s="40"/>
      <c r="S86" s="40"/>
      <c r="T86" s="40"/>
      <c r="U86" s="42"/>
      <c r="V86" s="197">
        <f>SUM(V87:Z98)</f>
        <v>0</v>
      </c>
      <c r="W86" s="97"/>
      <c r="X86" s="97"/>
      <c r="Y86" s="97"/>
      <c r="Z86" s="98"/>
      <c r="AA86" s="43"/>
      <c r="AB86" s="43"/>
      <c r="AC86" s="43"/>
      <c r="AD86" s="180" t="s">
        <v>46</v>
      </c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7"/>
      <c r="AU86" s="97"/>
      <c r="AV86" s="97"/>
      <c r="AW86" s="97"/>
      <c r="AX86" s="97"/>
      <c r="AY86" s="97"/>
      <c r="AZ86" s="97"/>
      <c r="BA86" s="98"/>
    </row>
    <row r="87" spans="2:53" ht="12" customHeight="1" x14ac:dyDescent="0.25">
      <c r="B87" s="136">
        <v>1</v>
      </c>
      <c r="C87" s="126"/>
      <c r="D87" s="193" t="str">
        <f>'Bases - Cadastro'!A38</f>
        <v>PR50050001 -  Material uso e consumo PROADI SUS</v>
      </c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1"/>
      <c r="P87" s="188" t="str">
        <f>'Bases - Cadastro'!D38</f>
        <v>263020 Reembolso de Material de Uso e Consumo PROADI SUS</v>
      </c>
      <c r="Q87" s="100"/>
      <c r="R87" s="100"/>
      <c r="S87" s="100"/>
      <c r="T87" s="100"/>
      <c r="U87" s="101"/>
      <c r="V87" s="201">
        <f t="shared" ref="V87:V98" si="0">SUMIF($AR$30:$AT$79,P87,$AU$30:$BA$79)</f>
        <v>0</v>
      </c>
      <c r="W87" s="125"/>
      <c r="X87" s="125"/>
      <c r="Y87" s="125"/>
      <c r="Z87" s="126"/>
      <c r="AA87" s="44"/>
      <c r="AB87" s="44"/>
      <c r="AC87" s="44"/>
      <c r="AD87" s="195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  <c r="AO87" s="130"/>
      <c r="AP87" s="130"/>
      <c r="AQ87" s="130"/>
      <c r="AR87" s="130"/>
      <c r="AS87" s="130"/>
      <c r="AT87" s="130"/>
      <c r="AU87" s="130"/>
      <c r="AV87" s="130"/>
      <c r="AW87" s="130"/>
      <c r="AX87" s="130"/>
      <c r="AY87" s="130"/>
      <c r="AZ87" s="130"/>
      <c r="BA87" s="161"/>
    </row>
    <row r="88" spans="2:53" ht="12" customHeight="1" x14ac:dyDescent="0.25">
      <c r="B88" s="128">
        <v>2</v>
      </c>
      <c r="C88" s="101"/>
      <c r="D88" s="193" t="str">
        <f>'Bases - Cadastro'!A39</f>
        <v>PR50060002 -  Refeições e Lanches PROADI SUS</v>
      </c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1"/>
      <c r="P88" s="188" t="str">
        <f>'Bases - Cadastro'!D39</f>
        <v>263018 Reembolso de Refeições e Lanches PROADI SUS</v>
      </c>
      <c r="Q88" s="100"/>
      <c r="R88" s="100"/>
      <c r="S88" s="100"/>
      <c r="T88" s="100"/>
      <c r="U88" s="101"/>
      <c r="V88" s="186">
        <f t="shared" si="0"/>
        <v>0</v>
      </c>
      <c r="W88" s="100"/>
      <c r="X88" s="100"/>
      <c r="Y88" s="100"/>
      <c r="Z88" s="101"/>
      <c r="AA88" s="47"/>
      <c r="AB88" s="47"/>
      <c r="AC88" s="47"/>
      <c r="AD88" s="165"/>
      <c r="AE88" s="103"/>
      <c r="AF88" s="103"/>
      <c r="AG88" s="103"/>
      <c r="AH88" s="103"/>
      <c r="AI88" s="103"/>
      <c r="AJ88" s="103"/>
      <c r="AK88" s="103"/>
      <c r="AL88" s="103"/>
      <c r="AM88" s="103"/>
      <c r="AN88" s="103"/>
      <c r="AO88" s="103"/>
      <c r="AP88" s="103"/>
      <c r="AQ88" s="103"/>
      <c r="AR88" s="103"/>
      <c r="AS88" s="103"/>
      <c r="AT88" s="103"/>
      <c r="AU88" s="103"/>
      <c r="AV88" s="103"/>
      <c r="AW88" s="103"/>
      <c r="AX88" s="103"/>
      <c r="AY88" s="103"/>
      <c r="AZ88" s="103"/>
      <c r="BA88" s="166"/>
    </row>
    <row r="89" spans="2:53" ht="12" customHeight="1" x14ac:dyDescent="0.25">
      <c r="B89" s="128">
        <v>3</v>
      </c>
      <c r="C89" s="101"/>
      <c r="D89" s="193" t="str">
        <f>'Bases - Cadastro'!A40</f>
        <v>PR50060003 -  Condução e Transporte PROADI SUS</v>
      </c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1"/>
      <c r="P89" s="188" t="str">
        <f>'Bases - Cadastro'!D40</f>
        <v>263962 Reembolso de Condução e Transporte PROADI SUS</v>
      </c>
      <c r="Q89" s="100"/>
      <c r="R89" s="100"/>
      <c r="S89" s="100"/>
      <c r="T89" s="100"/>
      <c r="U89" s="101"/>
      <c r="V89" s="186">
        <f t="shared" si="0"/>
        <v>0</v>
      </c>
      <c r="W89" s="100"/>
      <c r="X89" s="100"/>
      <c r="Y89" s="100"/>
      <c r="Z89" s="101"/>
      <c r="AA89" s="47"/>
      <c r="AB89" s="47"/>
      <c r="AC89" s="47"/>
      <c r="AD89" s="165"/>
      <c r="AE89" s="103"/>
      <c r="AF89" s="103"/>
      <c r="AG89" s="103"/>
      <c r="AH89" s="103"/>
      <c r="AI89" s="103"/>
      <c r="AJ89" s="103"/>
      <c r="AK89" s="103"/>
      <c r="AL89" s="103"/>
      <c r="AM89" s="103"/>
      <c r="AN89" s="103"/>
      <c r="AO89" s="103"/>
      <c r="AP89" s="103"/>
      <c r="AQ89" s="103"/>
      <c r="AR89" s="103"/>
      <c r="AS89" s="103"/>
      <c r="AT89" s="103"/>
      <c r="AU89" s="103"/>
      <c r="AV89" s="103"/>
      <c r="AW89" s="103"/>
      <c r="AX89" s="103"/>
      <c r="AY89" s="103"/>
      <c r="AZ89" s="103"/>
      <c r="BA89" s="166"/>
    </row>
    <row r="90" spans="2:53" ht="12" customHeight="1" x14ac:dyDescent="0.25">
      <c r="B90" s="128">
        <v>4</v>
      </c>
      <c r="C90" s="101"/>
      <c r="D90" s="193" t="str">
        <f>'Bases - Cadastro'!A41</f>
        <v>PR50060004 -  Passagens Aereas PROADI SUS</v>
      </c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1"/>
      <c r="P90" s="188" t="str">
        <f>'Bases - Cadastro'!D41</f>
        <v>263021 Reembolso de Passagem Aérea PROADI SUS</v>
      </c>
      <c r="Q90" s="100"/>
      <c r="R90" s="100"/>
      <c r="S90" s="100"/>
      <c r="T90" s="100"/>
      <c r="U90" s="101"/>
      <c r="V90" s="186">
        <f t="shared" si="0"/>
        <v>0</v>
      </c>
      <c r="W90" s="100"/>
      <c r="X90" s="100"/>
      <c r="Y90" s="100"/>
      <c r="Z90" s="101"/>
      <c r="AA90" s="47"/>
      <c r="AB90" s="47"/>
      <c r="AC90" s="47"/>
      <c r="AD90" s="165"/>
      <c r="AE90" s="103"/>
      <c r="AF90" s="103"/>
      <c r="AG90" s="103"/>
      <c r="AH90" s="103"/>
      <c r="AI90" s="103"/>
      <c r="AJ90" s="103"/>
      <c r="AK90" s="103"/>
      <c r="AL90" s="103"/>
      <c r="AM90" s="103"/>
      <c r="AN90" s="103"/>
      <c r="AO90" s="103"/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66"/>
    </row>
    <row r="91" spans="2:53" ht="12" customHeight="1" x14ac:dyDescent="0.25">
      <c r="B91" s="128">
        <v>5</v>
      </c>
      <c r="C91" s="101"/>
      <c r="D91" s="193" t="str">
        <f>'Bases - Cadastro'!A42</f>
        <v>PR50060005 -  Hospedagem PROADI SUS</v>
      </c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1"/>
      <c r="P91" s="188" t="str">
        <f>'Bases - Cadastro'!D42</f>
        <v>263022 Reembolso de Hospedagem PROADI SUS</v>
      </c>
      <c r="Q91" s="100"/>
      <c r="R91" s="100"/>
      <c r="S91" s="100"/>
      <c r="T91" s="100"/>
      <c r="U91" s="101"/>
      <c r="V91" s="186">
        <f t="shared" si="0"/>
        <v>0</v>
      </c>
      <c r="W91" s="100"/>
      <c r="X91" s="100"/>
      <c r="Y91" s="100"/>
      <c r="Z91" s="101"/>
      <c r="AA91" s="47"/>
      <c r="AB91" s="47"/>
      <c r="AC91" s="47"/>
      <c r="AD91" s="165"/>
      <c r="AE91" s="103"/>
      <c r="AF91" s="103"/>
      <c r="AG91" s="103"/>
      <c r="AH91" s="103"/>
      <c r="AI91" s="103"/>
      <c r="AJ91" s="103"/>
      <c r="AK91" s="103"/>
      <c r="AL91" s="103"/>
      <c r="AM91" s="103"/>
      <c r="AN91" s="103"/>
      <c r="AO91" s="103"/>
      <c r="AP91" s="103"/>
      <c r="AQ91" s="103"/>
      <c r="AR91" s="103"/>
      <c r="AS91" s="103"/>
      <c r="AT91" s="103"/>
      <c r="AU91" s="103"/>
      <c r="AV91" s="103"/>
      <c r="AW91" s="103"/>
      <c r="AX91" s="103"/>
      <c r="AY91" s="103"/>
      <c r="AZ91" s="103"/>
      <c r="BA91" s="166"/>
    </row>
    <row r="92" spans="2:53" ht="12" customHeight="1" x14ac:dyDescent="0.25">
      <c r="B92" s="128">
        <v>6</v>
      </c>
      <c r="C92" s="101"/>
      <c r="D92" s="193" t="str">
        <f>'Bases - Cadastro'!A43</f>
        <v>PR50060006 -  Taxas de Viagens, Eventos e Congressos PROADI SUS</v>
      </c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1"/>
      <c r="P92" s="188" t="str">
        <f>'Bases - Cadastro'!D43</f>
        <v>263023 Reembolso de Inscrições de Eventos PROADI SUS</v>
      </c>
      <c r="Q92" s="100"/>
      <c r="R92" s="100"/>
      <c r="S92" s="100"/>
      <c r="T92" s="100"/>
      <c r="U92" s="101"/>
      <c r="V92" s="186">
        <f t="shared" si="0"/>
        <v>0</v>
      </c>
      <c r="W92" s="100"/>
      <c r="X92" s="100"/>
      <c r="Y92" s="100"/>
      <c r="Z92" s="101"/>
      <c r="AA92" s="47"/>
      <c r="AB92" s="47"/>
      <c r="AC92" s="47"/>
      <c r="AD92" s="165"/>
      <c r="AE92" s="103"/>
      <c r="AF92" s="103"/>
      <c r="AG92" s="103"/>
      <c r="AH92" s="103"/>
      <c r="AI92" s="103"/>
      <c r="AJ92" s="103"/>
      <c r="AK92" s="103"/>
      <c r="AL92" s="103"/>
      <c r="AM92" s="103"/>
      <c r="AN92" s="103"/>
      <c r="AO92" s="103"/>
      <c r="AP92" s="103"/>
      <c r="AQ92" s="103"/>
      <c r="AR92" s="103"/>
      <c r="AS92" s="103"/>
      <c r="AT92" s="103"/>
      <c r="AU92" s="103"/>
      <c r="AV92" s="103"/>
      <c r="AW92" s="103"/>
      <c r="AX92" s="103"/>
      <c r="AY92" s="103"/>
      <c r="AZ92" s="103"/>
      <c r="BA92" s="166"/>
    </row>
    <row r="93" spans="2:53" ht="12" customHeight="1" x14ac:dyDescent="0.25">
      <c r="B93" s="128">
        <v>7</v>
      </c>
      <c r="C93" s="101"/>
      <c r="D93" s="193" t="str">
        <f>'Bases - Cadastro'!A44</f>
        <v>PR50090003 -  Custas de cartório PROADI SUS</v>
      </c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1"/>
      <c r="P93" s="188" t="str">
        <f>'Bases - Cadastro'!D44</f>
        <v>263017 Reembolso de Cartório PROADI SUS</v>
      </c>
      <c r="Q93" s="100"/>
      <c r="R93" s="100"/>
      <c r="S93" s="100"/>
      <c r="T93" s="100"/>
      <c r="U93" s="101"/>
      <c r="V93" s="186">
        <f t="shared" si="0"/>
        <v>0</v>
      </c>
      <c r="W93" s="100"/>
      <c r="X93" s="100"/>
      <c r="Y93" s="100"/>
      <c r="Z93" s="101"/>
      <c r="AA93" s="47"/>
      <c r="AB93" s="47"/>
      <c r="AC93" s="47"/>
      <c r="AD93" s="165"/>
      <c r="AE93" s="103"/>
      <c r="AF93" s="103"/>
      <c r="AG93" s="103"/>
      <c r="AH93" s="103"/>
      <c r="AI93" s="103"/>
      <c r="AJ93" s="103"/>
      <c r="AK93" s="103"/>
      <c r="AL93" s="103"/>
      <c r="AM93" s="103"/>
      <c r="AN93" s="103"/>
      <c r="AO93" s="103"/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66"/>
    </row>
    <row r="94" spans="2:53" ht="12" customHeight="1" x14ac:dyDescent="0.25">
      <c r="B94" s="128">
        <v>8</v>
      </c>
      <c r="C94" s="101"/>
      <c r="D94" s="193" t="str">
        <f>'Bases - Cadastro'!A45</f>
        <v>PR50090005 -  Correios e Malotes PROADI SUS</v>
      </c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1"/>
      <c r="P94" s="188" t="str">
        <f>'Bases - Cadastro'!D45</f>
        <v>263016 Reembolso de Correios PROADI SUS</v>
      </c>
      <c r="Q94" s="100"/>
      <c r="R94" s="100"/>
      <c r="S94" s="100"/>
      <c r="T94" s="100"/>
      <c r="U94" s="101"/>
      <c r="V94" s="186">
        <f t="shared" si="0"/>
        <v>0</v>
      </c>
      <c r="W94" s="100"/>
      <c r="X94" s="100"/>
      <c r="Y94" s="100"/>
      <c r="Z94" s="101"/>
      <c r="AA94" s="47"/>
      <c r="AB94" s="47"/>
      <c r="AC94" s="47"/>
      <c r="AD94" s="165"/>
      <c r="AE94" s="103"/>
      <c r="AF94" s="103"/>
      <c r="AG94" s="103"/>
      <c r="AH94" s="103"/>
      <c r="AI94" s="103"/>
      <c r="AJ94" s="103"/>
      <c r="AK94" s="103"/>
      <c r="AL94" s="103"/>
      <c r="AM94" s="103"/>
      <c r="AN94" s="103"/>
      <c r="AO94" s="103"/>
      <c r="AP94" s="103"/>
      <c r="AQ94" s="103"/>
      <c r="AR94" s="103"/>
      <c r="AS94" s="103"/>
      <c r="AT94" s="103"/>
      <c r="AU94" s="103"/>
      <c r="AV94" s="103"/>
      <c r="AW94" s="103"/>
      <c r="AX94" s="103"/>
      <c r="AY94" s="103"/>
      <c r="AZ94" s="103"/>
      <c r="BA94" s="166"/>
    </row>
    <row r="95" spans="2:53" ht="12" customHeight="1" x14ac:dyDescent="0.25">
      <c r="B95" s="128">
        <v>9</v>
      </c>
      <c r="C95" s="101"/>
      <c r="D95" s="193" t="str">
        <f>'Bases - Cadastro'!A46</f>
        <v>PR50090011 -  Revelações, Cópias, Impressões e Gráfica PROADI SUS</v>
      </c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1"/>
      <c r="P95" s="188" t="str">
        <f>'Bases - Cadastro'!D46</f>
        <v>263019 Reembolso de Revelações, Cópias e Gráfica PROADI SUS</v>
      </c>
      <c r="Q95" s="100"/>
      <c r="R95" s="100"/>
      <c r="S95" s="100"/>
      <c r="T95" s="100"/>
      <c r="U95" s="101"/>
      <c r="V95" s="186">
        <f t="shared" si="0"/>
        <v>0</v>
      </c>
      <c r="W95" s="100"/>
      <c r="X95" s="100"/>
      <c r="Y95" s="100"/>
      <c r="Z95" s="101"/>
      <c r="AA95" s="47"/>
      <c r="AB95" s="47"/>
      <c r="AC95" s="47"/>
      <c r="AD95" s="165"/>
      <c r="AE95" s="103"/>
      <c r="AF95" s="103"/>
      <c r="AG95" s="103"/>
      <c r="AH95" s="103"/>
      <c r="AI95" s="103"/>
      <c r="AJ95" s="103"/>
      <c r="AK95" s="103"/>
      <c r="AL95" s="103"/>
      <c r="AM95" s="103"/>
      <c r="AN95" s="103"/>
      <c r="AO95" s="103"/>
      <c r="AP95" s="103"/>
      <c r="AQ95" s="103"/>
      <c r="AR95" s="103"/>
      <c r="AS95" s="103"/>
      <c r="AT95" s="103"/>
      <c r="AU95" s="103"/>
      <c r="AV95" s="103"/>
      <c r="AW95" s="103"/>
      <c r="AX95" s="103"/>
      <c r="AY95" s="103"/>
      <c r="AZ95" s="103"/>
      <c r="BA95" s="166"/>
    </row>
    <row r="96" spans="2:53" ht="12" customHeight="1" x14ac:dyDescent="0.25">
      <c r="B96" s="128">
        <v>10</v>
      </c>
      <c r="C96" s="101"/>
      <c r="D96" s="193">
        <f>'Bases - Cadastro'!A47</f>
        <v>0</v>
      </c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1"/>
      <c r="P96" s="188">
        <f>'Bases - Cadastro'!B47</f>
        <v>0</v>
      </c>
      <c r="Q96" s="100"/>
      <c r="R96" s="100"/>
      <c r="S96" s="100"/>
      <c r="T96" s="100"/>
      <c r="U96" s="101"/>
      <c r="V96" s="186">
        <f t="shared" si="0"/>
        <v>0</v>
      </c>
      <c r="W96" s="100"/>
      <c r="X96" s="100"/>
      <c r="Y96" s="100"/>
      <c r="Z96" s="101"/>
      <c r="AA96" s="47"/>
      <c r="AB96" s="47"/>
      <c r="AC96" s="47"/>
      <c r="AD96" s="165"/>
      <c r="AE96" s="103"/>
      <c r="AF96" s="103"/>
      <c r="AG96" s="103"/>
      <c r="AH96" s="103"/>
      <c r="AI96" s="103"/>
      <c r="AJ96" s="103"/>
      <c r="AK96" s="103"/>
      <c r="AL96" s="103"/>
      <c r="AM96" s="103"/>
      <c r="AN96" s="103"/>
      <c r="AO96" s="103"/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66"/>
    </row>
    <row r="97" spans="2:53" ht="12" customHeight="1" x14ac:dyDescent="0.25">
      <c r="B97" s="128">
        <v>11</v>
      </c>
      <c r="C97" s="101"/>
      <c r="D97" s="193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1"/>
      <c r="P97" s="188"/>
      <c r="Q97" s="100"/>
      <c r="R97" s="100"/>
      <c r="S97" s="100"/>
      <c r="T97" s="100"/>
      <c r="U97" s="101"/>
      <c r="V97" s="186">
        <f t="shared" si="0"/>
        <v>0</v>
      </c>
      <c r="W97" s="100"/>
      <c r="X97" s="100"/>
      <c r="Y97" s="100"/>
      <c r="Z97" s="101"/>
      <c r="AA97" s="47"/>
      <c r="AB97" s="47"/>
      <c r="AC97" s="47"/>
      <c r="AD97" s="165"/>
      <c r="AE97" s="103"/>
      <c r="AF97" s="103"/>
      <c r="AG97" s="103"/>
      <c r="AH97" s="103"/>
      <c r="AI97" s="103"/>
      <c r="AJ97" s="103"/>
      <c r="AK97" s="103"/>
      <c r="AL97" s="103"/>
      <c r="AM97" s="103"/>
      <c r="AN97" s="103"/>
      <c r="AO97" s="103"/>
      <c r="AP97" s="103"/>
      <c r="AQ97" s="103"/>
      <c r="AR97" s="103"/>
      <c r="AS97" s="103"/>
      <c r="AT97" s="103"/>
      <c r="AU97" s="103"/>
      <c r="AV97" s="103"/>
      <c r="AW97" s="103"/>
      <c r="AX97" s="103"/>
      <c r="AY97" s="103"/>
      <c r="AZ97" s="103"/>
      <c r="BA97" s="166"/>
    </row>
    <row r="98" spans="2:53" ht="12" customHeight="1" x14ac:dyDescent="0.25">
      <c r="B98" s="128">
        <v>12</v>
      </c>
      <c r="C98" s="101"/>
      <c r="D98" s="193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1"/>
      <c r="P98" s="188"/>
      <c r="Q98" s="100"/>
      <c r="R98" s="100"/>
      <c r="S98" s="100"/>
      <c r="T98" s="100"/>
      <c r="U98" s="101"/>
      <c r="V98" s="186">
        <f t="shared" si="0"/>
        <v>0</v>
      </c>
      <c r="W98" s="100"/>
      <c r="X98" s="100"/>
      <c r="Y98" s="100"/>
      <c r="Z98" s="101"/>
      <c r="AA98" s="47"/>
      <c r="AB98" s="47"/>
      <c r="AC98" s="47"/>
      <c r="AD98" s="167"/>
      <c r="AE98" s="144"/>
      <c r="AF98" s="144"/>
      <c r="AG98" s="144"/>
      <c r="AH98" s="144"/>
      <c r="AI98" s="144"/>
      <c r="AJ98" s="144"/>
      <c r="AK98" s="144"/>
      <c r="AL98" s="144"/>
      <c r="AM98" s="144"/>
      <c r="AN98" s="144"/>
      <c r="AO98" s="144"/>
      <c r="AP98" s="144"/>
      <c r="AQ98" s="144"/>
      <c r="AR98" s="144"/>
      <c r="AS98" s="144"/>
      <c r="AT98" s="144"/>
      <c r="AU98" s="144"/>
      <c r="AV98" s="144"/>
      <c r="AW98" s="144"/>
      <c r="AX98" s="144"/>
      <c r="AY98" s="144"/>
      <c r="AZ98" s="144"/>
      <c r="BA98" s="168"/>
    </row>
  </sheetData>
  <mergeCells count="562">
    <mergeCell ref="D98:O98"/>
    <mergeCell ref="AR32:AT32"/>
    <mergeCell ref="L38:P38"/>
    <mergeCell ref="AA63:AN63"/>
    <mergeCell ref="AU40:BA40"/>
    <mergeCell ref="L40:P40"/>
    <mergeCell ref="AN23:BA23"/>
    <mergeCell ref="B64:F64"/>
    <mergeCell ref="B51:F51"/>
    <mergeCell ref="AO28:AQ28"/>
    <mergeCell ref="G75:K75"/>
    <mergeCell ref="V98:Z98"/>
    <mergeCell ref="AG10:AM10"/>
    <mergeCell ref="B73:F73"/>
    <mergeCell ref="AU63:BA63"/>
    <mergeCell ref="U28:Z29"/>
    <mergeCell ref="B80:AT80"/>
    <mergeCell ref="AA75:AN75"/>
    <mergeCell ref="AA50:AN50"/>
    <mergeCell ref="Q78:T78"/>
    <mergeCell ref="G44:K44"/>
    <mergeCell ref="AR52:AT52"/>
    <mergeCell ref="G31:K31"/>
    <mergeCell ref="AO78:AQ78"/>
    <mergeCell ref="AA79:AN79"/>
    <mergeCell ref="V91:Z91"/>
    <mergeCell ref="B66:F66"/>
    <mergeCell ref="AO73:AQ73"/>
    <mergeCell ref="U62:Z62"/>
    <mergeCell ref="B67:F67"/>
    <mergeCell ref="B61:F61"/>
    <mergeCell ref="G57:K57"/>
    <mergeCell ref="G49:K49"/>
    <mergeCell ref="L45:P45"/>
    <mergeCell ref="AU38:BA38"/>
    <mergeCell ref="D97:O97"/>
    <mergeCell ref="AU72:BA72"/>
    <mergeCell ref="AU47:BA47"/>
    <mergeCell ref="L37:P37"/>
    <mergeCell ref="U56:Z56"/>
    <mergeCell ref="V97:Z97"/>
    <mergeCell ref="AR49:AT49"/>
    <mergeCell ref="U43:Z43"/>
    <mergeCell ref="AO58:AQ58"/>
    <mergeCell ref="B48:F48"/>
    <mergeCell ref="V96:Z96"/>
    <mergeCell ref="U64:Z64"/>
    <mergeCell ref="U51:Z51"/>
    <mergeCell ref="B69:F69"/>
    <mergeCell ref="AJ6:AM6"/>
    <mergeCell ref="U66:Z66"/>
    <mergeCell ref="C82:R82"/>
    <mergeCell ref="AR34:AT34"/>
    <mergeCell ref="Q75:T75"/>
    <mergeCell ref="AA34:AN34"/>
    <mergeCell ref="AU42:BA42"/>
    <mergeCell ref="AU77:BA77"/>
    <mergeCell ref="AR36:AT36"/>
    <mergeCell ref="AA36:AN36"/>
    <mergeCell ref="AR76:AT76"/>
    <mergeCell ref="G30:K30"/>
    <mergeCell ref="Q39:T39"/>
    <mergeCell ref="AA78:AN78"/>
    <mergeCell ref="AA65:AN65"/>
    <mergeCell ref="AO70:AQ70"/>
    <mergeCell ref="AA31:AN31"/>
    <mergeCell ref="U59:Z59"/>
    <mergeCell ref="AR77:AT77"/>
    <mergeCell ref="AO32:AQ32"/>
    <mergeCell ref="U46:Z46"/>
    <mergeCell ref="G54:K54"/>
    <mergeCell ref="G41:K41"/>
    <mergeCell ref="B45:F45"/>
    <mergeCell ref="AF18:AR18"/>
    <mergeCell ref="AO31:AQ31"/>
    <mergeCell ref="B2:BA3"/>
    <mergeCell ref="L74:P74"/>
    <mergeCell ref="D92:O92"/>
    <mergeCell ref="Q62:T62"/>
    <mergeCell ref="B44:F44"/>
    <mergeCell ref="U55:Z55"/>
    <mergeCell ref="U38:Z38"/>
    <mergeCell ref="B4:AX4"/>
    <mergeCell ref="L76:P76"/>
    <mergeCell ref="AU44:BA44"/>
    <mergeCell ref="B37:F37"/>
    <mergeCell ref="G33:K33"/>
    <mergeCell ref="Q64:T64"/>
    <mergeCell ref="AA54:AN54"/>
    <mergeCell ref="AU31:BA31"/>
    <mergeCell ref="Q51:T51"/>
    <mergeCell ref="G79:K79"/>
    <mergeCell ref="AA41:AN41"/>
    <mergeCell ref="U40:Z40"/>
    <mergeCell ref="G73:K73"/>
    <mergeCell ref="L69:P69"/>
    <mergeCell ref="G35:K35"/>
    <mergeCell ref="B91:C91"/>
    <mergeCell ref="AU76:BA76"/>
    <mergeCell ref="P95:U95"/>
    <mergeCell ref="AR66:AT66"/>
    <mergeCell ref="AR63:AT63"/>
    <mergeCell ref="B93:C93"/>
    <mergeCell ref="AA72:AN72"/>
    <mergeCell ref="AO29:AQ29"/>
    <mergeCell ref="L43:P43"/>
    <mergeCell ref="AR68:AT68"/>
    <mergeCell ref="B42:F42"/>
    <mergeCell ref="G38:K38"/>
    <mergeCell ref="AA30:AN30"/>
    <mergeCell ref="D94:O94"/>
    <mergeCell ref="AA56:AN56"/>
    <mergeCell ref="AO57:AQ57"/>
    <mergeCell ref="V95:Z95"/>
    <mergeCell ref="AO47:AQ47"/>
    <mergeCell ref="U61:Z61"/>
    <mergeCell ref="AA62:AN62"/>
    <mergeCell ref="U48:Z48"/>
    <mergeCell ref="L77:P77"/>
    <mergeCell ref="G56:K56"/>
    <mergeCell ref="D95:O95"/>
    <mergeCell ref="B20:G20"/>
    <mergeCell ref="AU79:BA79"/>
    <mergeCell ref="AO49:AQ49"/>
    <mergeCell ref="U63:Z63"/>
    <mergeCell ref="AO36:AQ36"/>
    <mergeCell ref="U50:Z50"/>
    <mergeCell ref="L79:P79"/>
    <mergeCell ref="U44:Z44"/>
    <mergeCell ref="AO60:AQ60"/>
    <mergeCell ref="B49:F49"/>
    <mergeCell ref="L28:P29"/>
    <mergeCell ref="AO67:AQ67"/>
    <mergeCell ref="B24:O24"/>
    <mergeCell ref="AU74:BA74"/>
    <mergeCell ref="B32:F32"/>
    <mergeCell ref="Q65:T65"/>
    <mergeCell ref="B47:F47"/>
    <mergeCell ref="G43:K43"/>
    <mergeCell ref="AU37:BA37"/>
    <mergeCell ref="U41:Z41"/>
    <mergeCell ref="B59:F59"/>
    <mergeCell ref="B46:F46"/>
    <mergeCell ref="Q33:T33"/>
    <mergeCell ref="G10:M10"/>
    <mergeCell ref="Q72:T72"/>
    <mergeCell ref="AA35:AN35"/>
    <mergeCell ref="AO72:AQ72"/>
    <mergeCell ref="Q59:T59"/>
    <mergeCell ref="B36:F36"/>
    <mergeCell ref="U77:Z77"/>
    <mergeCell ref="AO65:AQ65"/>
    <mergeCell ref="Q46:T46"/>
    <mergeCell ref="Q28:T29"/>
    <mergeCell ref="AP20:AR20"/>
    <mergeCell ref="G72:K72"/>
    <mergeCell ref="AA24:AL24"/>
    <mergeCell ref="Q61:T61"/>
    <mergeCell ref="Q48:T48"/>
    <mergeCell ref="AA38:AN38"/>
    <mergeCell ref="U37:Z37"/>
    <mergeCell ref="L66:P66"/>
    <mergeCell ref="L53:P53"/>
    <mergeCell ref="U72:Z72"/>
    <mergeCell ref="Q41:T41"/>
    <mergeCell ref="AR53:AT53"/>
    <mergeCell ref="B77:F77"/>
    <mergeCell ref="AA40:AN40"/>
    <mergeCell ref="B95:C95"/>
    <mergeCell ref="Q40:T40"/>
    <mergeCell ref="G6:Y6"/>
    <mergeCell ref="B89:C89"/>
    <mergeCell ref="B76:F76"/>
    <mergeCell ref="AU55:BA55"/>
    <mergeCell ref="AR39:AT39"/>
    <mergeCell ref="AR70:AT70"/>
    <mergeCell ref="B97:C97"/>
    <mergeCell ref="AO33:AQ33"/>
    <mergeCell ref="AA43:AN43"/>
    <mergeCell ref="H12:T12"/>
    <mergeCell ref="AO35:AQ35"/>
    <mergeCell ref="L78:P78"/>
    <mergeCell ref="AU71:BA71"/>
    <mergeCell ref="AA6:AH6"/>
    <mergeCell ref="AR65:AT65"/>
    <mergeCell ref="Q77:T77"/>
    <mergeCell ref="B88:C88"/>
    <mergeCell ref="B23:O23"/>
    <mergeCell ref="AU73:BA73"/>
    <mergeCell ref="L55:P55"/>
    <mergeCell ref="AU48:BA48"/>
    <mergeCell ref="AR50:AT50"/>
    <mergeCell ref="P98:U98"/>
    <mergeCell ref="V87:Z87"/>
    <mergeCell ref="B8:F8"/>
    <mergeCell ref="Q37:T37"/>
    <mergeCell ref="V89:Z89"/>
    <mergeCell ref="G69:K69"/>
    <mergeCell ref="AU58:BA58"/>
    <mergeCell ref="U67:Z67"/>
    <mergeCell ref="B26:BA26"/>
    <mergeCell ref="AO64:AQ64"/>
    <mergeCell ref="AO51:AQ51"/>
    <mergeCell ref="L63:P63"/>
    <mergeCell ref="AU60:BA60"/>
    <mergeCell ref="AR75:AT75"/>
    <mergeCell ref="Q55:T55"/>
    <mergeCell ref="L50:P50"/>
    <mergeCell ref="AA23:AL23"/>
    <mergeCell ref="U69:Z69"/>
    <mergeCell ref="Q38:T38"/>
    <mergeCell ref="B74:F74"/>
    <mergeCell ref="G64:K64"/>
    <mergeCell ref="B68:F68"/>
    <mergeCell ref="G51:K51"/>
    <mergeCell ref="B27:BA27"/>
    <mergeCell ref="V92:Z92"/>
    <mergeCell ref="U76:Z76"/>
    <mergeCell ref="B28:F29"/>
    <mergeCell ref="AR57:AT57"/>
    <mergeCell ref="G36:K36"/>
    <mergeCell ref="L32:P32"/>
    <mergeCell ref="V94:Z94"/>
    <mergeCell ref="U20:X20"/>
    <mergeCell ref="L47:P47"/>
    <mergeCell ref="AO76:AQ76"/>
    <mergeCell ref="L52:P52"/>
    <mergeCell ref="G58:K58"/>
    <mergeCell ref="AA69:AN69"/>
    <mergeCell ref="AR60:AT60"/>
    <mergeCell ref="AR78:AT78"/>
    <mergeCell ref="W83:AG83"/>
    <mergeCell ref="AO54:AQ54"/>
    <mergeCell ref="L68:P68"/>
    <mergeCell ref="Q56:T56"/>
    <mergeCell ref="AO41:AQ41"/>
    <mergeCell ref="Q43:T43"/>
    <mergeCell ref="AR55:AT55"/>
    <mergeCell ref="AA33:AN33"/>
    <mergeCell ref="AO56:AQ56"/>
    <mergeCell ref="AR29:AT29"/>
    <mergeCell ref="B53:F53"/>
    <mergeCell ref="AR44:AT44"/>
    <mergeCell ref="U79:Z79"/>
    <mergeCell ref="AR31:AT31"/>
    <mergeCell ref="Q63:T63"/>
    <mergeCell ref="Q50:T50"/>
    <mergeCell ref="AR62:AT62"/>
    <mergeCell ref="AU70:BA70"/>
    <mergeCell ref="U74:Z74"/>
    <mergeCell ref="AU32:BA32"/>
    <mergeCell ref="L70:P70"/>
    <mergeCell ref="AU45:BA45"/>
    <mergeCell ref="AU46:BA46"/>
    <mergeCell ref="AU28:BA29"/>
    <mergeCell ref="AU61:BA61"/>
    <mergeCell ref="AA57:AN57"/>
    <mergeCell ref="AO34:AQ34"/>
    <mergeCell ref="C19:AT19"/>
    <mergeCell ref="AR28:AT28"/>
    <mergeCell ref="G71:K71"/>
    <mergeCell ref="AR30:AT30"/>
    <mergeCell ref="U71:Z71"/>
    <mergeCell ref="G8:AL8"/>
    <mergeCell ref="U58:Z58"/>
    <mergeCell ref="L30:P30"/>
    <mergeCell ref="AN6:AZ6"/>
    <mergeCell ref="AR54:AT54"/>
    <mergeCell ref="AR41:AT41"/>
    <mergeCell ref="L44:P44"/>
    <mergeCell ref="AR56:AT56"/>
    <mergeCell ref="L31:P31"/>
    <mergeCell ref="AR43:AT43"/>
    <mergeCell ref="B55:F55"/>
    <mergeCell ref="Q44:T44"/>
    <mergeCell ref="AA47:AN47"/>
    <mergeCell ref="G59:K59"/>
    <mergeCell ref="AU57:BA57"/>
    <mergeCell ref="G28:K29"/>
    <mergeCell ref="U53:Z53"/>
    <mergeCell ref="G67:K67"/>
    <mergeCell ref="B71:F71"/>
    <mergeCell ref="B98:C98"/>
    <mergeCell ref="AA77:AN77"/>
    <mergeCell ref="AD86:BA86"/>
    <mergeCell ref="AR79:AT79"/>
    <mergeCell ref="P87:U87"/>
    <mergeCell ref="AR35:AT35"/>
    <mergeCell ref="AU35:BA35"/>
    <mergeCell ref="B16:AX16"/>
    <mergeCell ref="P89:U89"/>
    <mergeCell ref="L54:P54"/>
    <mergeCell ref="Q67:T67"/>
    <mergeCell ref="G45:K45"/>
    <mergeCell ref="U60:Z60"/>
    <mergeCell ref="H84:R84"/>
    <mergeCell ref="L41:P41"/>
    <mergeCell ref="AU34:BA34"/>
    <mergeCell ref="AA66:AN66"/>
    <mergeCell ref="B65:F65"/>
    <mergeCell ref="L56:P56"/>
    <mergeCell ref="AU49:BA49"/>
    <mergeCell ref="Q69:T69"/>
    <mergeCell ref="G47:K47"/>
    <mergeCell ref="Q24:Y24"/>
    <mergeCell ref="AU36:BA36"/>
    <mergeCell ref="U32:Z32"/>
    <mergeCell ref="B62:F62"/>
    <mergeCell ref="I20:R20"/>
    <mergeCell ref="B31:F31"/>
    <mergeCell ref="U47:Z47"/>
    <mergeCell ref="AO74:AQ74"/>
    <mergeCell ref="B96:C96"/>
    <mergeCell ref="AR40:AT40"/>
    <mergeCell ref="Q76:T76"/>
    <mergeCell ref="B39:F39"/>
    <mergeCell ref="AR33:AT33"/>
    <mergeCell ref="U45:Z45"/>
    <mergeCell ref="B63:F63"/>
    <mergeCell ref="B50:F50"/>
    <mergeCell ref="G46:K46"/>
    <mergeCell ref="G40:K40"/>
    <mergeCell ref="AA67:AN67"/>
    <mergeCell ref="AA61:AN61"/>
    <mergeCell ref="AA32:AN32"/>
    <mergeCell ref="AO62:AQ62"/>
    <mergeCell ref="U73:Z73"/>
    <mergeCell ref="B78:F78"/>
    <mergeCell ref="AO75:AQ75"/>
    <mergeCell ref="P90:U90"/>
    <mergeCell ref="AB18:AE18"/>
    <mergeCell ref="H83:R83"/>
    <mergeCell ref="Q53:T53"/>
    <mergeCell ref="AU33:BA33"/>
    <mergeCell ref="U42:Z42"/>
    <mergeCell ref="L71:P71"/>
    <mergeCell ref="D93:O93"/>
    <mergeCell ref="G37:K37"/>
    <mergeCell ref="U52:Z52"/>
    <mergeCell ref="V93:Z93"/>
    <mergeCell ref="Q68:T68"/>
    <mergeCell ref="B57:F57"/>
    <mergeCell ref="AA45:AN45"/>
    <mergeCell ref="AO59:AQ59"/>
    <mergeCell ref="L73:P73"/>
    <mergeCell ref="AO46:AQ46"/>
    <mergeCell ref="AO61:AQ61"/>
    <mergeCell ref="B25:BA25"/>
    <mergeCell ref="AA59:AN59"/>
    <mergeCell ref="AU30:BA30"/>
    <mergeCell ref="AA46:AN46"/>
    <mergeCell ref="AU59:BA59"/>
    <mergeCell ref="Q79:T79"/>
    <mergeCell ref="AA64:AN64"/>
    <mergeCell ref="B30:F30"/>
    <mergeCell ref="AA74:AN74"/>
    <mergeCell ref="AU80:BA80"/>
    <mergeCell ref="AO48:AQ48"/>
    <mergeCell ref="AO66:AQ66"/>
    <mergeCell ref="D96:O96"/>
    <mergeCell ref="AA76:AN76"/>
    <mergeCell ref="AO77:AQ77"/>
    <mergeCell ref="B54:F54"/>
    <mergeCell ref="B90:C90"/>
    <mergeCell ref="AO68:AQ68"/>
    <mergeCell ref="AO43:AQ43"/>
    <mergeCell ref="G42:K42"/>
    <mergeCell ref="U57:Z57"/>
    <mergeCell ref="B56:F56"/>
    <mergeCell ref="D91:O91"/>
    <mergeCell ref="Q66:T66"/>
    <mergeCell ref="B43:F43"/>
    <mergeCell ref="G32:K32"/>
    <mergeCell ref="AA51:AN51"/>
    <mergeCell ref="U70:Z70"/>
    <mergeCell ref="AA71:AN71"/>
    <mergeCell ref="B75:F75"/>
    <mergeCell ref="V86:Z86"/>
    <mergeCell ref="O10:T10"/>
    <mergeCell ref="AD87:BA98"/>
    <mergeCell ref="G76:K76"/>
    <mergeCell ref="L72:P72"/>
    <mergeCell ref="D90:O90"/>
    <mergeCell ref="B33:F33"/>
    <mergeCell ref="Q60:T60"/>
    <mergeCell ref="AU65:BA65"/>
    <mergeCell ref="U49:Z49"/>
    <mergeCell ref="V90:Z90"/>
    <mergeCell ref="B79:F79"/>
    <mergeCell ref="U36:Z36"/>
    <mergeCell ref="L65:P65"/>
    <mergeCell ref="U30:Z30"/>
    <mergeCell ref="AA42:AN42"/>
    <mergeCell ref="B41:F41"/>
    <mergeCell ref="B35:F35"/>
    <mergeCell ref="G77:K77"/>
    <mergeCell ref="AO53:AQ53"/>
    <mergeCell ref="AO45:AQ45"/>
    <mergeCell ref="AA20:AF20"/>
    <mergeCell ref="AO38:AQ38"/>
    <mergeCell ref="AA48:AN48"/>
    <mergeCell ref="U54:Z54"/>
    <mergeCell ref="B87:C87"/>
    <mergeCell ref="AN22:BA22"/>
    <mergeCell ref="AO55:AQ55"/>
    <mergeCell ref="B38:F38"/>
    <mergeCell ref="G34:K34"/>
    <mergeCell ref="D89:O89"/>
    <mergeCell ref="AA53:AN53"/>
    <mergeCell ref="AO40:AQ40"/>
    <mergeCell ref="U35:Z35"/>
    <mergeCell ref="D88:O88"/>
    <mergeCell ref="AA68:AN68"/>
    <mergeCell ref="Q58:T58"/>
    <mergeCell ref="B40:F40"/>
    <mergeCell ref="AO69:AQ69"/>
    <mergeCell ref="U34:Z34"/>
    <mergeCell ref="Q71:T71"/>
    <mergeCell ref="L58:P58"/>
    <mergeCell ref="AA70:AN70"/>
    <mergeCell ref="B34:F34"/>
    <mergeCell ref="AO71:AQ71"/>
    <mergeCell ref="AU78:BA78"/>
    <mergeCell ref="Q73:T73"/>
    <mergeCell ref="U31:Z31"/>
    <mergeCell ref="L60:P60"/>
    <mergeCell ref="B22:AL22"/>
    <mergeCell ref="AO52:AQ52"/>
    <mergeCell ref="B92:C92"/>
    <mergeCell ref="AA55:AN55"/>
    <mergeCell ref="I18:R18"/>
    <mergeCell ref="B94:C94"/>
    <mergeCell ref="P96:U96"/>
    <mergeCell ref="AU75:BA75"/>
    <mergeCell ref="Q70:T70"/>
    <mergeCell ref="Q45:T45"/>
    <mergeCell ref="AR69:AT69"/>
    <mergeCell ref="L75:P75"/>
    <mergeCell ref="Q32:T32"/>
    <mergeCell ref="AA44:AN44"/>
    <mergeCell ref="P91:U91"/>
    <mergeCell ref="AA58:AN58"/>
    <mergeCell ref="Q47:T47"/>
    <mergeCell ref="AA37:AN37"/>
    <mergeCell ref="AO63:AQ63"/>
    <mergeCell ref="AA73:AN73"/>
    <mergeCell ref="AA60:AN60"/>
    <mergeCell ref="AR64:AT64"/>
    <mergeCell ref="L39:P39"/>
    <mergeCell ref="AR51:AT51"/>
    <mergeCell ref="P97:U97"/>
    <mergeCell ref="G66:K66"/>
    <mergeCell ref="L62:P62"/>
    <mergeCell ref="AR74:AT74"/>
    <mergeCell ref="G53:K53"/>
    <mergeCell ref="AU64:BA64"/>
    <mergeCell ref="AA49:AN49"/>
    <mergeCell ref="AU51:BA51"/>
    <mergeCell ref="Q42:T42"/>
    <mergeCell ref="G74:K74"/>
    <mergeCell ref="AO50:AQ50"/>
    <mergeCell ref="G68:K68"/>
    <mergeCell ref="L64:P64"/>
    <mergeCell ref="Q52:T52"/>
    <mergeCell ref="L51:P51"/>
    <mergeCell ref="P93:U93"/>
    <mergeCell ref="AR72:AT72"/>
    <mergeCell ref="Q74:T74"/>
    <mergeCell ref="G61:K61"/>
    <mergeCell ref="L57:P57"/>
    <mergeCell ref="AU50:BA50"/>
    <mergeCell ref="G48:K48"/>
    <mergeCell ref="U68:Z68"/>
    <mergeCell ref="AU52:BA52"/>
    <mergeCell ref="L67:P67"/>
    <mergeCell ref="U84:V84"/>
    <mergeCell ref="AA52:AN52"/>
    <mergeCell ref="U82:AG82"/>
    <mergeCell ref="W84:AG84"/>
    <mergeCell ref="AU62:BA62"/>
    <mergeCell ref="D87:O87"/>
    <mergeCell ref="Q57:T57"/>
    <mergeCell ref="U33:Z33"/>
    <mergeCell ref="AR38:AT38"/>
    <mergeCell ref="B58:F58"/>
    <mergeCell ref="B52:F52"/>
    <mergeCell ref="B60:F60"/>
    <mergeCell ref="L42:P42"/>
    <mergeCell ref="AU39:BA39"/>
    <mergeCell ref="G62:K62"/>
    <mergeCell ref="P94:U94"/>
    <mergeCell ref="G63:K63"/>
    <mergeCell ref="L59:P59"/>
    <mergeCell ref="AR71:AT71"/>
    <mergeCell ref="G50:K50"/>
    <mergeCell ref="L46:P46"/>
    <mergeCell ref="U65:Z65"/>
    <mergeCell ref="Q34:T34"/>
    <mergeCell ref="AR58:AT58"/>
    <mergeCell ref="G60:K60"/>
    <mergeCell ref="AR37:AT37"/>
    <mergeCell ref="L61:P61"/>
    <mergeCell ref="Q49:T49"/>
    <mergeCell ref="AR73:AT73"/>
    <mergeCell ref="G52:K52"/>
    <mergeCell ref="L48:P48"/>
    <mergeCell ref="Q36:T36"/>
    <mergeCell ref="AO39:AQ39"/>
    <mergeCell ref="AO42:AQ42"/>
    <mergeCell ref="AA39:AN39"/>
    <mergeCell ref="AO44:AQ44"/>
    <mergeCell ref="C84:G84"/>
    <mergeCell ref="G78:K78"/>
    <mergeCell ref="Q54:T54"/>
    <mergeCell ref="B5:AX5"/>
    <mergeCell ref="L35:P35"/>
    <mergeCell ref="AR47:AT47"/>
    <mergeCell ref="P92:U92"/>
    <mergeCell ref="G65:K65"/>
    <mergeCell ref="AR42:AT42"/>
    <mergeCell ref="U83:V83"/>
    <mergeCell ref="B6:F6"/>
    <mergeCell ref="Q35:T35"/>
    <mergeCell ref="AU54:BA54"/>
    <mergeCell ref="AU41:BA41"/>
    <mergeCell ref="Q23:Y23"/>
    <mergeCell ref="Q30:T30"/>
    <mergeCell ref="B72:F72"/>
    <mergeCell ref="AU56:BA56"/>
    <mergeCell ref="AU43:BA43"/>
    <mergeCell ref="AO30:AQ30"/>
    <mergeCell ref="AN24:BA24"/>
    <mergeCell ref="B70:F70"/>
    <mergeCell ref="AU67:BA67"/>
    <mergeCell ref="AU69:BA69"/>
    <mergeCell ref="P88:U88"/>
    <mergeCell ref="U78:Z78"/>
    <mergeCell ref="G55:K55"/>
    <mergeCell ref="C83:G83"/>
    <mergeCell ref="AU66:BA66"/>
    <mergeCell ref="U75:Z75"/>
    <mergeCell ref="AU53:BA53"/>
    <mergeCell ref="G39:K39"/>
    <mergeCell ref="G70:K70"/>
    <mergeCell ref="V88:Z88"/>
    <mergeCell ref="AU68:BA68"/>
    <mergeCell ref="AN10:AZ10"/>
    <mergeCell ref="L33:P33"/>
    <mergeCell ref="AO79:AQ79"/>
    <mergeCell ref="AR45:AT45"/>
    <mergeCell ref="U39:Z39"/>
    <mergeCell ref="AR59:AT59"/>
    <mergeCell ref="L34:P34"/>
    <mergeCell ref="AR46:AT46"/>
    <mergeCell ref="Q31:T31"/>
    <mergeCell ref="AA28:AN29"/>
    <mergeCell ref="L49:P49"/>
    <mergeCell ref="AR67:AT67"/>
    <mergeCell ref="AR61:AT61"/>
    <mergeCell ref="L36:P36"/>
    <mergeCell ref="AR48:AT48"/>
    <mergeCell ref="AO37:AQ37"/>
  </mergeCells>
  <printOptions horizontalCentered="1"/>
  <pageMargins left="0.25" right="0.25" top="0.75" bottom="0.75" header="0.3" footer="0.3"/>
  <pageSetup paperSize="9" scale="53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11">
    <pageSetUpPr fitToPage="1"/>
  </sheetPr>
  <dimension ref="B2:BE95"/>
  <sheetViews>
    <sheetView showGridLines="0" showRowColHeaders="0" tabSelected="1" view="pageBreakPreview" topLeftCell="A10" zoomScale="80" zoomScaleNormal="100" zoomScaleSheetLayoutView="80" workbookViewId="0">
      <selection activeCell="AT20" sqref="AT20"/>
    </sheetView>
  </sheetViews>
  <sheetFormatPr defaultColWidth="8.88671875" defaultRowHeight="13.95" customHeight="1" x14ac:dyDescent="0.25"/>
  <cols>
    <col min="1" max="1" width="3.109375" style="15" customWidth="1"/>
    <col min="2" max="4" width="2.109375" style="15" customWidth="1"/>
    <col min="5" max="5" width="2.6640625" style="15" customWidth="1"/>
    <col min="6" max="6" width="2.109375" style="15" customWidth="1"/>
    <col min="7" max="7" width="2" style="15" customWidth="1"/>
    <col min="8" max="8" width="4.44140625" style="15" customWidth="1"/>
    <col min="9" max="11" width="2" style="15" customWidth="1"/>
    <col min="12" max="16" width="8.109375" style="15" customWidth="1"/>
    <col min="17" max="19" width="1.88671875" style="15" customWidth="1"/>
    <col min="20" max="20" width="2.33203125" style="15" customWidth="1"/>
    <col min="21" max="21" width="8" style="15" customWidth="1"/>
    <col min="22" max="25" width="2.6640625" style="15" customWidth="1"/>
    <col min="26" max="26" width="7.109375" style="15" customWidth="1"/>
    <col min="27" max="30" width="2.6640625" style="15" customWidth="1"/>
    <col min="31" max="31" width="2.109375" style="15" customWidth="1"/>
    <col min="32" max="32" width="3.109375" style="15" customWidth="1"/>
    <col min="33" max="34" width="2.6640625" style="15" customWidth="1"/>
    <col min="35" max="35" width="10" style="15" customWidth="1"/>
    <col min="36" max="36" width="1.6640625" style="15" customWidth="1"/>
    <col min="37" max="37" width="2.6640625" style="15" customWidth="1"/>
    <col min="38" max="38" width="2" style="15" customWidth="1"/>
    <col min="39" max="39" width="2.33203125" style="15" customWidth="1"/>
    <col min="40" max="40" width="1.5546875" style="15" customWidth="1"/>
    <col min="41" max="41" width="14.109375" style="15" customWidth="1"/>
    <col min="42" max="42" width="16.109375" style="15" customWidth="1"/>
    <col min="43" max="43" width="15.109375" style="15" customWidth="1"/>
    <col min="44" max="44" width="4.44140625" style="15" customWidth="1"/>
    <col min="45" max="45" width="4.5546875" style="15" customWidth="1"/>
    <col min="46" max="46" width="3.88671875" style="15" customWidth="1"/>
    <col min="47" max="53" width="2.5546875" style="15" customWidth="1"/>
    <col min="54" max="54" width="4.109375" style="15" customWidth="1"/>
    <col min="55" max="55" width="10" style="68" bestFit="1" customWidth="1"/>
    <col min="56" max="56" width="2.6640625" style="15" customWidth="1"/>
    <col min="57" max="57" width="15.88671875" style="15" customWidth="1"/>
    <col min="58" max="68" width="2.6640625" style="15" customWidth="1"/>
    <col min="69" max="80" width="8.88671875" style="15" customWidth="1"/>
    <col min="81" max="16384" width="8.88671875" style="15"/>
  </cols>
  <sheetData>
    <row r="2" spans="2:53" ht="9.75" customHeight="1" x14ac:dyDescent="0.25">
      <c r="B2" s="176" t="s">
        <v>0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61"/>
    </row>
    <row r="3" spans="2:53" ht="54.75" customHeight="1" x14ac:dyDescent="0.25">
      <c r="B3" s="167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68"/>
    </row>
    <row r="4" spans="2:53" ht="7.5" customHeight="1" x14ac:dyDescent="0.25">
      <c r="B4" s="177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16"/>
      <c r="AZ4" s="16"/>
      <c r="BA4" s="16"/>
    </row>
    <row r="5" spans="2:53" ht="8.25" customHeight="1" x14ac:dyDescent="0.25">
      <c r="B5" s="105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7"/>
      <c r="AZ5" s="17"/>
      <c r="BA5" s="18"/>
    </row>
    <row r="6" spans="2:53" ht="23.25" customHeight="1" x14ac:dyDescent="0.25">
      <c r="B6" s="108" t="s">
        <v>1</v>
      </c>
      <c r="C6" s="103"/>
      <c r="D6" s="103"/>
      <c r="E6" s="103"/>
      <c r="F6" s="103"/>
      <c r="G6" s="16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78" t="s">
        <v>2</v>
      </c>
      <c r="AA6" s="163"/>
      <c r="AB6" s="103"/>
      <c r="AC6" s="103"/>
      <c r="AD6" s="103"/>
      <c r="AE6" s="103"/>
      <c r="AF6" s="103"/>
      <c r="AG6" s="103"/>
      <c r="AH6" s="103"/>
      <c r="AI6" s="19"/>
      <c r="AJ6" s="179" t="s">
        <v>3</v>
      </c>
      <c r="AK6" s="103"/>
      <c r="AL6" s="103"/>
      <c r="AM6" s="103"/>
      <c r="AN6" s="155" t="s">
        <v>4</v>
      </c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20"/>
    </row>
    <row r="7" spans="2:53" ht="8.25" customHeight="1" x14ac:dyDescent="0.25">
      <c r="B7" s="59"/>
      <c r="C7" s="54"/>
      <c r="D7" s="54"/>
      <c r="E7" s="54"/>
      <c r="F7" s="54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8"/>
      <c r="AA7" s="58"/>
      <c r="AB7" s="58"/>
      <c r="AC7" s="58"/>
      <c r="AD7" s="58"/>
      <c r="AE7" s="58"/>
      <c r="AF7" s="58"/>
      <c r="AG7" s="58"/>
      <c r="AH7" s="58"/>
      <c r="AI7" s="19"/>
      <c r="AJ7" s="62"/>
      <c r="AK7" s="62"/>
      <c r="AL7" s="62"/>
      <c r="AM7" s="62"/>
      <c r="BA7" s="20"/>
    </row>
    <row r="8" spans="2:53" ht="49.5" customHeight="1" x14ac:dyDescent="0.25">
      <c r="B8" s="108" t="s">
        <v>5</v>
      </c>
      <c r="C8" s="103"/>
      <c r="D8" s="103"/>
      <c r="E8" s="103"/>
      <c r="F8" s="103"/>
      <c r="G8" s="154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62"/>
      <c r="BA8" s="20"/>
    </row>
    <row r="9" spans="2:53" ht="8.25" customHeight="1" x14ac:dyDescent="0.25">
      <c r="B9" s="59"/>
      <c r="C9" s="54"/>
      <c r="D9" s="54"/>
      <c r="E9" s="54"/>
      <c r="F9" s="54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8"/>
      <c r="AA9" s="58"/>
      <c r="AB9" s="58"/>
      <c r="AC9" s="58"/>
      <c r="AD9" s="58"/>
      <c r="AE9" s="58"/>
      <c r="AF9" s="58"/>
      <c r="AG9" s="58"/>
      <c r="AH9" s="58"/>
      <c r="AI9" s="19"/>
      <c r="AJ9" s="62"/>
      <c r="AK9" s="62"/>
      <c r="AL9" s="62"/>
      <c r="AM9" s="62"/>
      <c r="BA9" s="20"/>
    </row>
    <row r="10" spans="2:53" ht="22.5" customHeight="1" x14ac:dyDescent="0.25">
      <c r="B10" s="63" t="s">
        <v>6</v>
      </c>
      <c r="D10" s="8"/>
      <c r="E10" s="8"/>
      <c r="F10" s="8"/>
      <c r="G10" s="138"/>
      <c r="H10" s="103"/>
      <c r="I10" s="103"/>
      <c r="J10" s="103"/>
      <c r="K10" s="103"/>
      <c r="L10" s="103"/>
      <c r="M10" s="103"/>
      <c r="N10" s="58" t="s">
        <v>7</v>
      </c>
      <c r="O10" s="138"/>
      <c r="P10" s="103"/>
      <c r="Q10" s="103"/>
      <c r="R10" s="103"/>
      <c r="S10" s="103"/>
      <c r="T10" s="103"/>
      <c r="W10" s="21"/>
      <c r="X10" s="21"/>
      <c r="Y10" s="21"/>
      <c r="Z10" s="21"/>
      <c r="AA10" s="21"/>
      <c r="AB10" s="21"/>
      <c r="AC10" s="21"/>
      <c r="AD10" s="21"/>
      <c r="AG10" s="179" t="s">
        <v>8</v>
      </c>
      <c r="AH10" s="103"/>
      <c r="AI10" s="103"/>
      <c r="AJ10" s="103"/>
      <c r="AK10" s="103"/>
      <c r="AL10" s="103"/>
      <c r="AM10" s="103"/>
      <c r="AN10" s="102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27"/>
    </row>
    <row r="11" spans="2:53" ht="15" customHeight="1" x14ac:dyDescent="0.25">
      <c r="B11" s="26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21"/>
      <c r="P11" s="28"/>
      <c r="V11" s="29"/>
      <c r="W11" s="29"/>
      <c r="X11" s="29"/>
      <c r="Y11" s="29"/>
      <c r="Z11" s="29"/>
      <c r="AA11" s="29"/>
      <c r="AB11" s="29"/>
      <c r="AC11" s="29"/>
      <c r="AD11" s="29"/>
      <c r="AY11" s="21"/>
      <c r="AZ11" s="21"/>
      <c r="BA11" s="27"/>
    </row>
    <row r="12" spans="2:53" ht="15" customHeight="1" x14ac:dyDescent="0.25">
      <c r="B12" s="63" t="s">
        <v>9</v>
      </c>
      <c r="C12" s="58"/>
      <c r="D12" s="54"/>
      <c r="E12" s="54"/>
      <c r="F12" s="54"/>
      <c r="G12" s="54"/>
      <c r="H12" s="163" t="s">
        <v>10</v>
      </c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28"/>
      <c r="V12" s="28"/>
      <c r="W12" s="28"/>
      <c r="X12" s="28"/>
      <c r="Y12" s="28"/>
      <c r="Z12" s="28"/>
      <c r="AA12" s="29"/>
      <c r="AB12" s="29"/>
      <c r="AC12" s="29"/>
      <c r="AD12" s="29"/>
      <c r="AE12" s="28" t="s">
        <v>11</v>
      </c>
      <c r="AF12" s="28"/>
      <c r="AG12" s="28"/>
      <c r="AH12" s="28"/>
      <c r="AI12" s="28"/>
      <c r="AJ12" s="28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1"/>
      <c r="AZ12" s="21"/>
      <c r="BA12" s="27"/>
    </row>
    <row r="13" spans="2:53" ht="15" customHeight="1" x14ac:dyDescent="0.25">
      <c r="B13" s="26"/>
      <c r="C13" s="58"/>
      <c r="D13" s="54"/>
      <c r="E13" s="54"/>
      <c r="F13" s="54"/>
      <c r="G13" s="54"/>
      <c r="H13" s="8"/>
      <c r="I13" s="21"/>
      <c r="J13" s="21"/>
      <c r="K13" s="21"/>
      <c r="L13" s="54"/>
      <c r="M13" s="8"/>
      <c r="N13" s="21"/>
      <c r="O13" s="21"/>
      <c r="P13" s="21"/>
      <c r="Q13" s="21"/>
      <c r="R13" s="21"/>
      <c r="AF13" s="28"/>
      <c r="AG13" s="28"/>
      <c r="AH13" s="28"/>
      <c r="AI13" s="28"/>
      <c r="AJ13" s="28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1"/>
      <c r="AZ13" s="21"/>
      <c r="BA13" s="27"/>
    </row>
    <row r="14" spans="2:53" ht="15" customHeight="1" x14ac:dyDescent="0.25">
      <c r="B14" s="26"/>
      <c r="C14" s="58"/>
      <c r="D14" s="54"/>
      <c r="E14" s="54"/>
      <c r="F14" s="54"/>
      <c r="G14" s="54"/>
      <c r="H14" s="8"/>
      <c r="I14" s="21"/>
      <c r="J14" s="21"/>
      <c r="K14" s="21"/>
      <c r="L14" s="54"/>
      <c r="M14" s="8"/>
      <c r="N14" s="21"/>
      <c r="O14" s="21"/>
      <c r="P14" s="21"/>
      <c r="Q14" s="21"/>
      <c r="R14" s="21"/>
      <c r="AF14" s="28"/>
      <c r="AG14" s="28"/>
      <c r="AH14" s="28"/>
      <c r="AI14" s="28"/>
      <c r="AJ14" s="28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1"/>
      <c r="AZ14" s="21"/>
      <c r="BA14" s="27"/>
    </row>
    <row r="15" spans="2:53" ht="15" customHeight="1" x14ac:dyDescent="0.25">
      <c r="B15" s="26"/>
      <c r="C15" s="29"/>
      <c r="D15" s="8" t="s">
        <v>12</v>
      </c>
      <c r="J15" s="8" t="s">
        <v>13</v>
      </c>
      <c r="R15" s="58"/>
      <c r="T15" s="54" t="s">
        <v>14</v>
      </c>
      <c r="AF15" s="29"/>
      <c r="AH15" s="54"/>
      <c r="AI15" s="54" t="s">
        <v>15</v>
      </c>
      <c r="AJ15" s="54"/>
      <c r="AK15" s="54"/>
      <c r="AL15" s="54"/>
      <c r="AM15" s="21"/>
      <c r="AN15" s="58"/>
      <c r="AO15" s="58"/>
      <c r="AP15" s="58"/>
      <c r="AQ15" s="58"/>
      <c r="AR15" s="58"/>
      <c r="AS15" s="58"/>
      <c r="AT15" s="58"/>
      <c r="AU15" s="54"/>
      <c r="AV15" s="54"/>
      <c r="AW15" s="54"/>
      <c r="AX15" s="54"/>
      <c r="AY15" s="21"/>
      <c r="AZ15" s="21"/>
      <c r="BA15" s="27"/>
    </row>
    <row r="16" spans="2:53" ht="8.25" customHeight="1" x14ac:dyDescent="0.25">
      <c r="B16" s="147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22"/>
      <c r="AZ16" s="22"/>
      <c r="BA16" s="23"/>
    </row>
    <row r="17" spans="2:54" ht="9" customHeight="1" x14ac:dyDescent="0.25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</row>
    <row r="18" spans="2:54" ht="16.5" customHeight="1" x14ac:dyDescent="0.25">
      <c r="B18" s="64"/>
      <c r="D18" s="56"/>
      <c r="E18" s="56"/>
      <c r="F18" s="55"/>
      <c r="G18" s="55"/>
      <c r="H18" s="88" t="s">
        <v>16</v>
      </c>
      <c r="I18" s="129"/>
      <c r="J18" s="130"/>
      <c r="K18" s="130"/>
      <c r="L18" s="130"/>
      <c r="M18" s="130"/>
      <c r="N18" s="130"/>
      <c r="O18" s="130"/>
      <c r="P18" s="130"/>
      <c r="Q18" s="130"/>
      <c r="R18" s="130"/>
      <c r="S18" s="57" t="s">
        <v>17</v>
      </c>
      <c r="T18" s="56"/>
      <c r="U18" s="56"/>
      <c r="V18" s="56"/>
      <c r="W18" s="56"/>
      <c r="X18" s="56"/>
      <c r="Y18" s="56"/>
      <c r="Z18" s="61"/>
      <c r="AA18" s="61"/>
      <c r="AB18" s="142"/>
      <c r="AC18" s="130"/>
      <c r="AD18" s="130"/>
      <c r="AE18" s="130"/>
      <c r="AF18" s="175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24"/>
      <c r="AT18" s="24"/>
      <c r="AU18" s="24"/>
      <c r="AV18" s="24"/>
      <c r="AW18" s="24"/>
      <c r="AX18" s="24"/>
      <c r="AY18" s="24"/>
      <c r="AZ18" s="24"/>
      <c r="BA18" s="25"/>
    </row>
    <row r="19" spans="2:54" ht="3.75" customHeight="1" x14ac:dyDescent="0.25">
      <c r="B19" s="26"/>
      <c r="C19" s="152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21"/>
      <c r="AV19" s="21"/>
      <c r="AW19" s="21"/>
      <c r="AX19" s="21"/>
      <c r="AY19" s="21"/>
      <c r="AZ19" s="21"/>
      <c r="BA19" s="27"/>
    </row>
    <row r="20" spans="2:54" ht="19.5" customHeight="1" x14ac:dyDescent="0.25">
      <c r="B20" s="172" t="s">
        <v>18</v>
      </c>
      <c r="C20" s="103"/>
      <c r="D20" s="103"/>
      <c r="E20" s="103"/>
      <c r="F20" s="103"/>
      <c r="G20" s="103"/>
      <c r="H20" s="10"/>
      <c r="I20" s="102" t="s">
        <v>19</v>
      </c>
      <c r="J20" s="103"/>
      <c r="K20" s="103"/>
      <c r="L20" s="103"/>
      <c r="M20" s="103"/>
      <c r="N20" s="103"/>
      <c r="O20" s="103"/>
      <c r="P20" s="103"/>
      <c r="Q20" s="103"/>
      <c r="R20" s="103"/>
      <c r="U20" s="158" t="s">
        <v>20</v>
      </c>
      <c r="V20" s="103"/>
      <c r="W20" s="103"/>
      <c r="X20" s="103"/>
      <c r="Y20" s="8"/>
      <c r="Z20" s="8"/>
      <c r="AA20" s="102" t="s">
        <v>21</v>
      </c>
      <c r="AB20" s="103"/>
      <c r="AC20" s="103"/>
      <c r="AD20" s="103"/>
      <c r="AE20" s="103"/>
      <c r="AF20" s="103"/>
      <c r="AG20" s="65"/>
      <c r="AH20" s="29" t="s">
        <v>22</v>
      </c>
      <c r="AI20" s="60"/>
      <c r="AJ20" s="65"/>
      <c r="AK20" s="65"/>
      <c r="AL20" s="65"/>
      <c r="AM20" s="65"/>
      <c r="AN20" s="78"/>
      <c r="AO20" s="81" t="s">
        <v>23</v>
      </c>
      <c r="AP20" s="170">
        <v>10479918</v>
      </c>
      <c r="AQ20" s="103"/>
      <c r="AR20" s="103"/>
      <c r="AS20" s="29" t="s">
        <v>22</v>
      </c>
      <c r="AT20" s="60"/>
      <c r="AU20" s="21"/>
      <c r="AV20" s="21"/>
      <c r="AW20" s="21"/>
      <c r="AX20" s="21"/>
      <c r="AY20" s="21"/>
      <c r="AZ20" s="21"/>
      <c r="BA20" s="27"/>
    </row>
    <row r="21" spans="2:54" ht="8.25" customHeight="1" x14ac:dyDescent="0.25">
      <c r="B21" s="66"/>
      <c r="C21" s="22"/>
      <c r="D21" s="22"/>
      <c r="E21" s="22"/>
      <c r="F21" s="22"/>
      <c r="G21" s="22"/>
      <c r="H21" s="22"/>
      <c r="I21" s="22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2"/>
      <c r="BA21" s="23"/>
    </row>
    <row r="22" spans="2:54" ht="13.95" customHeight="1" x14ac:dyDescent="0.25">
      <c r="B22" s="127" t="s">
        <v>24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8"/>
      <c r="AM22" s="73"/>
      <c r="AN22" s="115" t="s">
        <v>25</v>
      </c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8"/>
    </row>
    <row r="23" spans="2:54" ht="13.95" customHeight="1" x14ac:dyDescent="0.25">
      <c r="B23" s="169" t="s">
        <v>26</v>
      </c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68"/>
      <c r="P23" s="31"/>
      <c r="Q23" s="111" t="s">
        <v>27</v>
      </c>
      <c r="R23" s="112"/>
      <c r="S23" s="112"/>
      <c r="T23" s="112"/>
      <c r="U23" s="112"/>
      <c r="V23" s="112"/>
      <c r="W23" s="112"/>
      <c r="X23" s="112"/>
      <c r="Y23" s="113"/>
      <c r="Z23" s="31"/>
      <c r="AA23" s="111" t="s">
        <v>28</v>
      </c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3"/>
      <c r="AM23" s="31"/>
      <c r="AN23" s="183" t="s">
        <v>29</v>
      </c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8"/>
    </row>
    <row r="24" spans="2:54" ht="13.95" customHeight="1" x14ac:dyDescent="0.25">
      <c r="B24" s="17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4"/>
      <c r="P24" s="32"/>
      <c r="Q24" s="115">
        <f>AU80</f>
        <v>0</v>
      </c>
      <c r="R24" s="97"/>
      <c r="S24" s="97"/>
      <c r="T24" s="97"/>
      <c r="U24" s="97"/>
      <c r="V24" s="97"/>
      <c r="W24" s="97"/>
      <c r="X24" s="97"/>
      <c r="Y24" s="98"/>
      <c r="Z24" s="33"/>
      <c r="AA24" s="171">
        <f>B24-Q24</f>
        <v>0</v>
      </c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8"/>
      <c r="AM24" s="72"/>
      <c r="AN24" s="115">
        <f>IF(AA24&lt;0,Q24-B24,IF(AA24&gt;0,"0,0",AU80-B24))</f>
        <v>0</v>
      </c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8"/>
    </row>
    <row r="25" spans="2:54" ht="8.25" customHeight="1" x14ac:dyDescent="0.25">
      <c r="B25" s="143" t="s">
        <v>30</v>
      </c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</row>
    <row r="26" spans="2:54" ht="13.95" customHeight="1" x14ac:dyDescent="0.25">
      <c r="B26" s="160" t="s">
        <v>31</v>
      </c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0"/>
      <c r="AX26" s="130"/>
      <c r="AY26" s="130"/>
      <c r="AZ26" s="130"/>
      <c r="BA26" s="161"/>
    </row>
    <row r="27" spans="2:54" ht="9" customHeight="1" x14ac:dyDescent="0.25">
      <c r="B27" s="132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4"/>
    </row>
    <row r="28" spans="2:54" ht="13.95" customHeight="1" x14ac:dyDescent="0.25">
      <c r="B28" s="119" t="s">
        <v>32</v>
      </c>
      <c r="C28" s="106"/>
      <c r="D28" s="106"/>
      <c r="E28" s="106"/>
      <c r="F28" s="120"/>
      <c r="G28" s="156" t="s">
        <v>33</v>
      </c>
      <c r="H28" s="106"/>
      <c r="I28" s="106"/>
      <c r="J28" s="106"/>
      <c r="K28" s="120"/>
      <c r="L28" s="119" t="s">
        <v>34</v>
      </c>
      <c r="M28" s="106"/>
      <c r="N28" s="106"/>
      <c r="O28" s="106"/>
      <c r="P28" s="120"/>
      <c r="Q28" s="119" t="s">
        <v>35</v>
      </c>
      <c r="R28" s="106"/>
      <c r="S28" s="106"/>
      <c r="T28" s="120"/>
      <c r="U28" s="119" t="s">
        <v>36</v>
      </c>
      <c r="V28" s="106"/>
      <c r="W28" s="106"/>
      <c r="X28" s="106"/>
      <c r="Y28" s="106"/>
      <c r="Z28" s="120"/>
      <c r="AA28" s="119" t="s">
        <v>37</v>
      </c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20"/>
      <c r="AO28" s="153" t="s">
        <v>38</v>
      </c>
      <c r="AP28" s="106"/>
      <c r="AQ28" s="120"/>
      <c r="AR28" s="153" t="s">
        <v>39</v>
      </c>
      <c r="AS28" s="106"/>
      <c r="AT28" s="120"/>
      <c r="AU28" s="119" t="s">
        <v>40</v>
      </c>
      <c r="AV28" s="106"/>
      <c r="AW28" s="106"/>
      <c r="AX28" s="106"/>
      <c r="AY28" s="106"/>
      <c r="AZ28" s="106"/>
      <c r="BA28" s="120"/>
    </row>
    <row r="29" spans="2:54" ht="13.5" customHeight="1" x14ac:dyDescent="0.25">
      <c r="B29" s="121"/>
      <c r="C29" s="112"/>
      <c r="D29" s="112"/>
      <c r="E29" s="112"/>
      <c r="F29" s="113"/>
      <c r="G29" s="121"/>
      <c r="H29" s="112"/>
      <c r="I29" s="112"/>
      <c r="J29" s="112"/>
      <c r="K29" s="113"/>
      <c r="L29" s="121"/>
      <c r="M29" s="112"/>
      <c r="N29" s="112"/>
      <c r="O29" s="112"/>
      <c r="P29" s="113"/>
      <c r="Q29" s="121"/>
      <c r="R29" s="112"/>
      <c r="S29" s="112"/>
      <c r="T29" s="113"/>
      <c r="U29" s="121"/>
      <c r="V29" s="112"/>
      <c r="W29" s="112"/>
      <c r="X29" s="112"/>
      <c r="Y29" s="112"/>
      <c r="Z29" s="113"/>
      <c r="AA29" s="121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3"/>
      <c r="AO29" s="157" t="s">
        <v>41</v>
      </c>
      <c r="AP29" s="112"/>
      <c r="AQ29" s="113"/>
      <c r="AR29" s="157" t="s">
        <v>42</v>
      </c>
      <c r="AS29" s="112"/>
      <c r="AT29" s="113"/>
      <c r="AU29" s="121"/>
      <c r="AV29" s="112"/>
      <c r="AW29" s="112"/>
      <c r="AX29" s="112"/>
      <c r="AY29" s="112"/>
      <c r="AZ29" s="112"/>
      <c r="BA29" s="113"/>
    </row>
    <row r="30" spans="2:54" ht="14.1" customHeight="1" x14ac:dyDescent="0.25">
      <c r="B30" s="114"/>
      <c r="C30" s="93"/>
      <c r="D30" s="93"/>
      <c r="E30" s="93"/>
      <c r="F30" s="94"/>
      <c r="G30" s="96">
        <f>IFERROR(VLOOKUP($AN$6,'Bases - Cadastro'!$A$4:$C$35,2,0),"")</f>
        <v>210863</v>
      </c>
      <c r="H30" s="97"/>
      <c r="I30" s="97"/>
      <c r="J30" s="97"/>
      <c r="K30" s="98"/>
      <c r="L30" s="96" t="str">
        <f>IF($G30="","",VLOOKUP($AN$6,'Bases - Cadastro'!A:C,3,0))</f>
        <v>PROADI Projeto Aprimora Sus 2024/2026</v>
      </c>
      <c r="M30" s="97"/>
      <c r="N30" s="97"/>
      <c r="O30" s="97"/>
      <c r="P30" s="98"/>
      <c r="Q30" s="109"/>
      <c r="R30" s="93"/>
      <c r="S30" s="93"/>
      <c r="T30" s="93"/>
      <c r="U30" s="95"/>
      <c r="V30" s="93"/>
      <c r="W30" s="93"/>
      <c r="X30" s="93"/>
      <c r="Y30" s="93"/>
      <c r="Z30" s="94"/>
      <c r="AA30" s="95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4"/>
      <c r="AO30" s="104"/>
      <c r="AP30" s="93"/>
      <c r="AQ30" s="94"/>
      <c r="AR30" s="110"/>
      <c r="AS30" s="93"/>
      <c r="AT30" s="94"/>
      <c r="AU30" s="92"/>
      <c r="AV30" s="93"/>
      <c r="AW30" s="93"/>
      <c r="AX30" s="93"/>
      <c r="AY30" s="93"/>
      <c r="AZ30" s="93"/>
      <c r="BA30" s="94"/>
      <c r="BB30" s="68"/>
    </row>
    <row r="31" spans="2:54" ht="14.1" customHeight="1" x14ac:dyDescent="0.25">
      <c r="B31" s="114"/>
      <c r="C31" s="93"/>
      <c r="D31" s="93"/>
      <c r="E31" s="93"/>
      <c r="F31" s="94"/>
      <c r="G31" s="96">
        <f>IFERROR(VLOOKUP($AN$6,'Bases - Cadastro'!$A$4:$C$35,2,0),"")</f>
        <v>210863</v>
      </c>
      <c r="H31" s="97"/>
      <c r="I31" s="97"/>
      <c r="J31" s="97"/>
      <c r="K31" s="98"/>
      <c r="L31" s="96" t="str">
        <f>IF(G31="","",VLOOKUP($AN$6,'Bases - Cadastro'!A:C,3,0))</f>
        <v>PROADI Projeto Aprimora Sus 2024/2026</v>
      </c>
      <c r="M31" s="97"/>
      <c r="N31" s="97"/>
      <c r="O31" s="97"/>
      <c r="P31" s="98"/>
      <c r="Q31" s="109"/>
      <c r="R31" s="93"/>
      <c r="S31" s="93"/>
      <c r="T31" s="93"/>
      <c r="U31" s="95"/>
      <c r="V31" s="93"/>
      <c r="W31" s="93"/>
      <c r="X31" s="93"/>
      <c r="Y31" s="93"/>
      <c r="Z31" s="94"/>
      <c r="AA31" s="95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4"/>
      <c r="AO31" s="104"/>
      <c r="AP31" s="93"/>
      <c r="AQ31" s="94"/>
      <c r="AR31" s="110"/>
      <c r="AS31" s="93"/>
      <c r="AT31" s="94"/>
      <c r="AU31" s="92"/>
      <c r="AV31" s="93"/>
      <c r="AW31" s="93"/>
      <c r="AX31" s="93"/>
      <c r="AY31" s="93"/>
      <c r="AZ31" s="93"/>
      <c r="BA31" s="94"/>
      <c r="BB31" s="68"/>
    </row>
    <row r="32" spans="2:54" ht="14.1" customHeight="1" x14ac:dyDescent="0.25">
      <c r="B32" s="114"/>
      <c r="C32" s="93"/>
      <c r="D32" s="93"/>
      <c r="E32" s="93"/>
      <c r="F32" s="94"/>
      <c r="G32" s="96">
        <f>IFERROR(VLOOKUP($AN$6,'Bases - Cadastro'!$A$4:$C$35,2,0),"")</f>
        <v>210863</v>
      </c>
      <c r="H32" s="97"/>
      <c r="I32" s="97"/>
      <c r="J32" s="97"/>
      <c r="K32" s="98"/>
      <c r="L32" s="96" t="str">
        <f>IF(G32="","",VLOOKUP($AN$6,'Bases - Cadastro'!A:C,3,0))</f>
        <v>PROADI Projeto Aprimora Sus 2024/2026</v>
      </c>
      <c r="M32" s="97"/>
      <c r="N32" s="97"/>
      <c r="O32" s="97"/>
      <c r="P32" s="98"/>
      <c r="Q32" s="109"/>
      <c r="R32" s="93"/>
      <c r="S32" s="93"/>
      <c r="T32" s="93"/>
      <c r="U32" s="95"/>
      <c r="V32" s="93"/>
      <c r="W32" s="93"/>
      <c r="X32" s="93"/>
      <c r="Y32" s="93"/>
      <c r="Z32" s="94"/>
      <c r="AA32" s="104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4"/>
      <c r="AO32" s="104"/>
      <c r="AP32" s="93"/>
      <c r="AQ32" s="94"/>
      <c r="AR32" s="110"/>
      <c r="AS32" s="93"/>
      <c r="AT32" s="94"/>
      <c r="AU32" s="92"/>
      <c r="AV32" s="93"/>
      <c r="AW32" s="93"/>
      <c r="AX32" s="93"/>
      <c r="AY32" s="93"/>
      <c r="AZ32" s="93"/>
      <c r="BA32" s="94"/>
    </row>
    <row r="33" spans="2:57" ht="14.1" customHeight="1" x14ac:dyDescent="0.25">
      <c r="B33" s="114"/>
      <c r="C33" s="93"/>
      <c r="D33" s="93"/>
      <c r="E33" s="93"/>
      <c r="F33" s="94"/>
      <c r="G33" s="96">
        <f>IFERROR(VLOOKUP($AN$6,'Bases - Cadastro'!$A$4:$C$35,2,0),"")</f>
        <v>210863</v>
      </c>
      <c r="H33" s="97"/>
      <c r="I33" s="97"/>
      <c r="J33" s="97"/>
      <c r="K33" s="98"/>
      <c r="L33" s="96" t="str">
        <f>IF(G33="","",VLOOKUP($AN$6,'Bases - Cadastro'!A:C,3,0))</f>
        <v>PROADI Projeto Aprimora Sus 2024/2026</v>
      </c>
      <c r="M33" s="97"/>
      <c r="N33" s="97"/>
      <c r="O33" s="97"/>
      <c r="P33" s="98"/>
      <c r="Q33" s="109"/>
      <c r="R33" s="93"/>
      <c r="S33" s="93"/>
      <c r="T33" s="93"/>
      <c r="U33" s="95"/>
      <c r="V33" s="93"/>
      <c r="W33" s="93"/>
      <c r="X33" s="93"/>
      <c r="Y33" s="93"/>
      <c r="Z33" s="94"/>
      <c r="AA33" s="95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4"/>
      <c r="AO33" s="104"/>
      <c r="AP33" s="93"/>
      <c r="AQ33" s="94"/>
      <c r="AR33" s="110"/>
      <c r="AS33" s="93"/>
      <c r="AT33" s="94"/>
      <c r="AU33" s="92"/>
      <c r="AV33" s="93"/>
      <c r="AW33" s="93"/>
      <c r="AX33" s="93"/>
      <c r="AY33" s="93"/>
      <c r="AZ33" s="93"/>
      <c r="BA33" s="94"/>
    </row>
    <row r="34" spans="2:57" ht="14.1" customHeight="1" x14ac:dyDescent="0.25">
      <c r="B34" s="114"/>
      <c r="C34" s="93"/>
      <c r="D34" s="93"/>
      <c r="E34" s="93"/>
      <c r="F34" s="94"/>
      <c r="G34" s="96">
        <f>IFERROR(VLOOKUP($AN$6,'Bases - Cadastro'!$A$4:$C$35,2,0),"")</f>
        <v>210863</v>
      </c>
      <c r="H34" s="97"/>
      <c r="I34" s="97"/>
      <c r="J34" s="97"/>
      <c r="K34" s="98"/>
      <c r="L34" s="96" t="str">
        <f>IF(G34="","",VLOOKUP($AN$6,'Bases - Cadastro'!A:C,3,0))</f>
        <v>PROADI Projeto Aprimora Sus 2024/2026</v>
      </c>
      <c r="M34" s="97"/>
      <c r="N34" s="97"/>
      <c r="O34" s="97"/>
      <c r="P34" s="98"/>
      <c r="Q34" s="109"/>
      <c r="R34" s="93"/>
      <c r="S34" s="93"/>
      <c r="T34" s="93"/>
      <c r="U34" s="95"/>
      <c r="V34" s="93"/>
      <c r="W34" s="93"/>
      <c r="X34" s="93"/>
      <c r="Y34" s="93"/>
      <c r="Z34" s="94"/>
      <c r="AA34" s="95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4"/>
      <c r="AO34" s="104"/>
      <c r="AP34" s="93"/>
      <c r="AQ34" s="94"/>
      <c r="AR34" s="110"/>
      <c r="AS34" s="93"/>
      <c r="AT34" s="94"/>
      <c r="AU34" s="92"/>
      <c r="AV34" s="93"/>
      <c r="AW34" s="93"/>
      <c r="AX34" s="93"/>
      <c r="AY34" s="93"/>
      <c r="AZ34" s="93"/>
      <c r="BA34" s="94"/>
    </row>
    <row r="35" spans="2:57" ht="14.1" customHeight="1" x14ac:dyDescent="0.25">
      <c r="B35" s="114"/>
      <c r="C35" s="93"/>
      <c r="D35" s="93"/>
      <c r="E35" s="93"/>
      <c r="F35" s="94"/>
      <c r="G35" s="96">
        <f>IFERROR(VLOOKUP($AN$6,'Bases - Cadastro'!$A$4:$C$35,2,0),"")</f>
        <v>210863</v>
      </c>
      <c r="H35" s="97"/>
      <c r="I35" s="97"/>
      <c r="J35" s="97"/>
      <c r="K35" s="98"/>
      <c r="L35" s="96" t="str">
        <f>IF(G35="","",VLOOKUP($AN$6,'Bases - Cadastro'!A:C,3,0))</f>
        <v>PROADI Projeto Aprimora Sus 2024/2026</v>
      </c>
      <c r="M35" s="97"/>
      <c r="N35" s="97"/>
      <c r="O35" s="97"/>
      <c r="P35" s="98"/>
      <c r="Q35" s="109"/>
      <c r="R35" s="93"/>
      <c r="S35" s="93"/>
      <c r="T35" s="93"/>
      <c r="U35" s="95"/>
      <c r="V35" s="93"/>
      <c r="W35" s="93"/>
      <c r="X35" s="93"/>
      <c r="Y35" s="93"/>
      <c r="Z35" s="94"/>
      <c r="AA35" s="95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4"/>
      <c r="AO35" s="104"/>
      <c r="AP35" s="93"/>
      <c r="AQ35" s="94"/>
      <c r="AR35" s="110"/>
      <c r="AS35" s="93"/>
      <c r="AT35" s="94"/>
      <c r="AU35" s="92"/>
      <c r="AV35" s="93"/>
      <c r="AW35" s="93"/>
      <c r="AX35" s="93"/>
      <c r="AY35" s="93"/>
      <c r="AZ35" s="93"/>
      <c r="BA35" s="94"/>
      <c r="BD35" s="67"/>
    </row>
    <row r="36" spans="2:57" ht="14.1" customHeight="1" x14ac:dyDescent="0.25">
      <c r="B36" s="114"/>
      <c r="C36" s="93"/>
      <c r="D36" s="93"/>
      <c r="E36" s="93"/>
      <c r="F36" s="94"/>
      <c r="G36" s="96">
        <f>IFERROR(VLOOKUP($AN$6,'Bases - Cadastro'!$A$4:$C$35,2,0),"")</f>
        <v>210863</v>
      </c>
      <c r="H36" s="97"/>
      <c r="I36" s="97"/>
      <c r="J36" s="97"/>
      <c r="K36" s="98"/>
      <c r="L36" s="96" t="str">
        <f>IF(G36="","",VLOOKUP($AN$6,'Bases - Cadastro'!A:C,3,0))</f>
        <v>PROADI Projeto Aprimora Sus 2024/2026</v>
      </c>
      <c r="M36" s="97"/>
      <c r="N36" s="97"/>
      <c r="O36" s="97"/>
      <c r="P36" s="98"/>
      <c r="Q36" s="109"/>
      <c r="R36" s="93"/>
      <c r="S36" s="93"/>
      <c r="T36" s="93"/>
      <c r="U36" s="95"/>
      <c r="V36" s="93"/>
      <c r="W36" s="93"/>
      <c r="X36" s="93"/>
      <c r="Y36" s="93"/>
      <c r="Z36" s="94"/>
      <c r="AA36" s="95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4"/>
      <c r="AO36" s="104"/>
      <c r="AP36" s="93"/>
      <c r="AQ36" s="94"/>
      <c r="AR36" s="110"/>
      <c r="AS36" s="93"/>
      <c r="AT36" s="94"/>
      <c r="AU36" s="92"/>
      <c r="AV36" s="93"/>
      <c r="AW36" s="93"/>
      <c r="AX36" s="93"/>
      <c r="AY36" s="93"/>
      <c r="AZ36" s="93"/>
      <c r="BA36" s="94"/>
      <c r="BB36" s="34"/>
    </row>
    <row r="37" spans="2:57" ht="14.1" customHeight="1" x14ac:dyDescent="0.3">
      <c r="B37" s="114"/>
      <c r="C37" s="93"/>
      <c r="D37" s="93"/>
      <c r="E37" s="93"/>
      <c r="F37" s="94"/>
      <c r="G37" s="96">
        <f>IFERROR(VLOOKUP($AN$6,'Bases - Cadastro'!$A$4:$C$35,2,0),"")</f>
        <v>210863</v>
      </c>
      <c r="H37" s="97"/>
      <c r="I37" s="97"/>
      <c r="J37" s="97"/>
      <c r="K37" s="98"/>
      <c r="L37" s="96" t="str">
        <f>IF(G37="","",VLOOKUP($AN$6,'Bases - Cadastro'!A:C,3,0))</f>
        <v>PROADI Projeto Aprimora Sus 2024/2026</v>
      </c>
      <c r="M37" s="97"/>
      <c r="N37" s="97"/>
      <c r="O37" s="97"/>
      <c r="P37" s="98"/>
      <c r="Q37" s="109"/>
      <c r="R37" s="93"/>
      <c r="S37" s="93"/>
      <c r="T37" s="93"/>
      <c r="U37" s="95"/>
      <c r="V37" s="93"/>
      <c r="W37" s="93"/>
      <c r="X37" s="93"/>
      <c r="Y37" s="93"/>
      <c r="Z37" s="94"/>
      <c r="AA37" s="95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4"/>
      <c r="AO37" s="104"/>
      <c r="AP37" s="93"/>
      <c r="AQ37" s="94"/>
      <c r="AR37" s="110"/>
      <c r="AS37" s="93"/>
      <c r="AT37" s="94"/>
      <c r="AU37" s="92"/>
      <c r="AV37" s="93"/>
      <c r="AW37" s="93"/>
      <c r="AX37" s="93"/>
      <c r="AY37" s="93"/>
      <c r="AZ37" s="93"/>
      <c r="BA37" s="94"/>
      <c r="BB37" s="34"/>
      <c r="BC37" s="69"/>
    </row>
    <row r="38" spans="2:57" ht="14.1" customHeight="1" x14ac:dyDescent="0.3">
      <c r="B38" s="114"/>
      <c r="C38" s="93"/>
      <c r="D38" s="93"/>
      <c r="E38" s="93"/>
      <c r="F38" s="94"/>
      <c r="G38" s="96">
        <f>IFERROR(VLOOKUP($AN$6,'Bases - Cadastro'!$A$4:$C$35,2,0),"")</f>
        <v>210863</v>
      </c>
      <c r="H38" s="97"/>
      <c r="I38" s="97"/>
      <c r="J38" s="97"/>
      <c r="K38" s="98"/>
      <c r="L38" s="96" t="str">
        <f>IF(G38="","",VLOOKUP($AN$6,'Bases - Cadastro'!A:C,3,0))</f>
        <v>PROADI Projeto Aprimora Sus 2024/2026</v>
      </c>
      <c r="M38" s="97"/>
      <c r="N38" s="97"/>
      <c r="O38" s="97"/>
      <c r="P38" s="98"/>
      <c r="Q38" s="109"/>
      <c r="R38" s="93"/>
      <c r="S38" s="93"/>
      <c r="T38" s="93"/>
      <c r="U38" s="95"/>
      <c r="V38" s="93"/>
      <c r="W38" s="93"/>
      <c r="X38" s="93"/>
      <c r="Y38" s="93"/>
      <c r="Z38" s="94"/>
      <c r="AA38" s="95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4"/>
      <c r="AO38" s="104"/>
      <c r="AP38" s="93"/>
      <c r="AQ38" s="94"/>
      <c r="AR38" s="110"/>
      <c r="AS38" s="93"/>
      <c r="AT38" s="94"/>
      <c r="AU38" s="92"/>
      <c r="AV38" s="93"/>
      <c r="AW38" s="93"/>
      <c r="AX38" s="93"/>
      <c r="AY38" s="93"/>
      <c r="AZ38" s="93"/>
      <c r="BA38" s="94"/>
      <c r="BC38" s="69"/>
      <c r="BE38" s="67"/>
    </row>
    <row r="39" spans="2:57" ht="14.1" customHeight="1" x14ac:dyDescent="0.25">
      <c r="B39" s="114"/>
      <c r="C39" s="93"/>
      <c r="D39" s="93"/>
      <c r="E39" s="93"/>
      <c r="F39" s="94"/>
      <c r="G39" s="96">
        <f>IFERROR(VLOOKUP($AN$6,'Bases - Cadastro'!$A$4:$C$35,2,0),"")</f>
        <v>210863</v>
      </c>
      <c r="H39" s="97"/>
      <c r="I39" s="97"/>
      <c r="J39" s="97"/>
      <c r="K39" s="98"/>
      <c r="L39" s="96" t="str">
        <f>IF(G39="","",VLOOKUP($AN$6,'Bases - Cadastro'!A:C,3,0))</f>
        <v>PROADI Projeto Aprimora Sus 2024/2026</v>
      </c>
      <c r="M39" s="97"/>
      <c r="N39" s="97"/>
      <c r="O39" s="97"/>
      <c r="P39" s="98"/>
      <c r="Q39" s="109"/>
      <c r="R39" s="93"/>
      <c r="S39" s="93"/>
      <c r="T39" s="93"/>
      <c r="U39" s="95"/>
      <c r="V39" s="93"/>
      <c r="W39" s="93"/>
      <c r="X39" s="93"/>
      <c r="Y39" s="93"/>
      <c r="Z39" s="94"/>
      <c r="AA39" s="95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4"/>
      <c r="AO39" s="104"/>
      <c r="AP39" s="93"/>
      <c r="AQ39" s="94"/>
      <c r="AR39" s="96"/>
      <c r="AS39" s="97"/>
      <c r="AT39" s="98"/>
      <c r="AU39" s="92"/>
      <c r="AV39" s="93"/>
      <c r="AW39" s="93"/>
      <c r="AX39" s="93"/>
      <c r="AY39" s="93"/>
      <c r="AZ39" s="93"/>
      <c r="BA39" s="94"/>
      <c r="BC39" s="70"/>
    </row>
    <row r="40" spans="2:57" ht="14.1" customHeight="1" x14ac:dyDescent="0.25">
      <c r="B40" s="114"/>
      <c r="C40" s="93"/>
      <c r="D40" s="93"/>
      <c r="E40" s="93"/>
      <c r="F40" s="94"/>
      <c r="G40" s="96">
        <f>IFERROR(VLOOKUP($AN$6,'Bases - Cadastro'!$A$4:$C$35,2,0),"")</f>
        <v>210863</v>
      </c>
      <c r="H40" s="97"/>
      <c r="I40" s="97"/>
      <c r="J40" s="97"/>
      <c r="K40" s="98"/>
      <c r="L40" s="96" t="str">
        <f>IF(G40="","",VLOOKUP($AN$6,'Bases - Cadastro'!A:C,3,0))</f>
        <v>PROADI Projeto Aprimora Sus 2024/2026</v>
      </c>
      <c r="M40" s="97"/>
      <c r="N40" s="97"/>
      <c r="O40" s="97"/>
      <c r="P40" s="98"/>
      <c r="Q40" s="109"/>
      <c r="R40" s="93"/>
      <c r="S40" s="93"/>
      <c r="T40" s="93"/>
      <c r="U40" s="95"/>
      <c r="V40" s="93"/>
      <c r="W40" s="93"/>
      <c r="X40" s="93"/>
      <c r="Y40" s="93"/>
      <c r="Z40" s="94"/>
      <c r="AA40" s="95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4"/>
      <c r="AO40" s="104"/>
      <c r="AP40" s="93"/>
      <c r="AQ40" s="94"/>
      <c r="AR40" s="96"/>
      <c r="AS40" s="97"/>
      <c r="AT40" s="98"/>
      <c r="AU40" s="92"/>
      <c r="AV40" s="93"/>
      <c r="AW40" s="93"/>
      <c r="AX40" s="93"/>
      <c r="AY40" s="93"/>
      <c r="AZ40" s="93"/>
      <c r="BA40" s="94"/>
    </row>
    <row r="41" spans="2:57" ht="14.1" customHeight="1" x14ac:dyDescent="0.25">
      <c r="B41" s="114"/>
      <c r="C41" s="93"/>
      <c r="D41" s="93"/>
      <c r="E41" s="93"/>
      <c r="F41" s="94"/>
      <c r="G41" s="96">
        <f>IFERROR(VLOOKUP($AN$6,'Bases - Cadastro'!$A$4:$C$35,2,0),"")</f>
        <v>210863</v>
      </c>
      <c r="H41" s="97"/>
      <c r="I41" s="97"/>
      <c r="J41" s="97"/>
      <c r="K41" s="98"/>
      <c r="L41" s="96" t="str">
        <f>IF(G41="","",VLOOKUP($AN$6,'Bases - Cadastro'!A:C,3,0))</f>
        <v>PROADI Projeto Aprimora Sus 2024/2026</v>
      </c>
      <c r="M41" s="97"/>
      <c r="N41" s="97"/>
      <c r="O41" s="97"/>
      <c r="P41" s="98"/>
      <c r="Q41" s="109"/>
      <c r="R41" s="93"/>
      <c r="S41" s="93"/>
      <c r="T41" s="93"/>
      <c r="U41" s="95"/>
      <c r="V41" s="93"/>
      <c r="W41" s="93"/>
      <c r="X41" s="93"/>
      <c r="Y41" s="93"/>
      <c r="Z41" s="94"/>
      <c r="AA41" s="95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4"/>
      <c r="AO41" s="104"/>
      <c r="AP41" s="93"/>
      <c r="AQ41" s="94"/>
      <c r="AR41" s="96"/>
      <c r="AS41" s="97"/>
      <c r="AT41" s="98"/>
      <c r="AU41" s="92"/>
      <c r="AV41" s="93"/>
      <c r="AW41" s="93"/>
      <c r="AX41" s="93"/>
      <c r="AY41" s="93"/>
      <c r="AZ41" s="93"/>
      <c r="BA41" s="94"/>
    </row>
    <row r="42" spans="2:57" ht="14.1" customHeight="1" x14ac:dyDescent="0.25">
      <c r="B42" s="114"/>
      <c r="C42" s="93"/>
      <c r="D42" s="93"/>
      <c r="E42" s="93"/>
      <c r="F42" s="94"/>
      <c r="G42" s="96">
        <f>IFERROR(VLOOKUP($AN$6,'Bases - Cadastro'!$A$4:$C$35,2,0),"")</f>
        <v>210863</v>
      </c>
      <c r="H42" s="97"/>
      <c r="I42" s="97"/>
      <c r="J42" s="97"/>
      <c r="K42" s="98"/>
      <c r="L42" s="96" t="str">
        <f>IF(G42="","",VLOOKUP($AN$6,'Bases - Cadastro'!A:C,3,0))</f>
        <v>PROADI Projeto Aprimora Sus 2024/2026</v>
      </c>
      <c r="M42" s="97"/>
      <c r="N42" s="97"/>
      <c r="O42" s="97"/>
      <c r="P42" s="98"/>
      <c r="Q42" s="109"/>
      <c r="R42" s="93"/>
      <c r="S42" s="93"/>
      <c r="T42" s="93"/>
      <c r="U42" s="95"/>
      <c r="V42" s="93"/>
      <c r="W42" s="93"/>
      <c r="X42" s="93"/>
      <c r="Y42" s="93"/>
      <c r="Z42" s="94"/>
      <c r="AA42" s="95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4"/>
      <c r="AO42" s="104"/>
      <c r="AP42" s="93"/>
      <c r="AQ42" s="94"/>
      <c r="AR42" s="96"/>
      <c r="AS42" s="97"/>
      <c r="AT42" s="98"/>
      <c r="AU42" s="92"/>
      <c r="AV42" s="93"/>
      <c r="AW42" s="93"/>
      <c r="AX42" s="93"/>
      <c r="AY42" s="93"/>
      <c r="AZ42" s="93"/>
      <c r="BA42" s="94"/>
      <c r="BE42" s="35"/>
    </row>
    <row r="43" spans="2:57" ht="14.1" customHeight="1" x14ac:dyDescent="0.25">
      <c r="B43" s="114"/>
      <c r="C43" s="93"/>
      <c r="D43" s="93"/>
      <c r="E43" s="93"/>
      <c r="F43" s="94"/>
      <c r="G43" s="96">
        <f>IFERROR(VLOOKUP($AN$6,'Bases - Cadastro'!$A$4:$C$35,2,0),"")</f>
        <v>210863</v>
      </c>
      <c r="H43" s="97"/>
      <c r="I43" s="97"/>
      <c r="J43" s="97"/>
      <c r="K43" s="98"/>
      <c r="L43" s="96" t="str">
        <f>IF(G43="","",VLOOKUP($AN$6,'Bases - Cadastro'!A:C,3,0))</f>
        <v>PROADI Projeto Aprimora Sus 2024/2026</v>
      </c>
      <c r="M43" s="97"/>
      <c r="N43" s="97"/>
      <c r="O43" s="97"/>
      <c r="P43" s="98"/>
      <c r="Q43" s="109"/>
      <c r="R43" s="93"/>
      <c r="S43" s="93"/>
      <c r="T43" s="93"/>
      <c r="U43" s="95"/>
      <c r="V43" s="93"/>
      <c r="W43" s="93"/>
      <c r="X43" s="93"/>
      <c r="Y43" s="93"/>
      <c r="Z43" s="94"/>
      <c r="AA43" s="95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4"/>
      <c r="AO43" s="104"/>
      <c r="AP43" s="93"/>
      <c r="AQ43" s="94"/>
      <c r="AR43" s="96"/>
      <c r="AS43" s="97"/>
      <c r="AT43" s="98"/>
      <c r="AU43" s="92"/>
      <c r="AV43" s="93"/>
      <c r="AW43" s="93"/>
      <c r="AX43" s="93"/>
      <c r="AY43" s="93"/>
      <c r="AZ43" s="93"/>
      <c r="BA43" s="94"/>
    </row>
    <row r="44" spans="2:57" ht="14.1" customHeight="1" x14ac:dyDescent="0.25">
      <c r="B44" s="114"/>
      <c r="C44" s="93"/>
      <c r="D44" s="93"/>
      <c r="E44" s="93"/>
      <c r="F44" s="94"/>
      <c r="G44" s="96">
        <f>IFERROR(VLOOKUP($AN$6,'Bases - Cadastro'!$A$4:$C$35,2,0),"")</f>
        <v>210863</v>
      </c>
      <c r="H44" s="97"/>
      <c r="I44" s="97"/>
      <c r="J44" s="97"/>
      <c r="K44" s="98"/>
      <c r="L44" s="96" t="str">
        <f>IF(G44="","",VLOOKUP($AN$6,'Bases - Cadastro'!A:C,3,0))</f>
        <v>PROADI Projeto Aprimora Sus 2024/2026</v>
      </c>
      <c r="M44" s="97"/>
      <c r="N44" s="97"/>
      <c r="O44" s="97"/>
      <c r="P44" s="98"/>
      <c r="Q44" s="109"/>
      <c r="R44" s="93"/>
      <c r="S44" s="93"/>
      <c r="T44" s="93"/>
      <c r="U44" s="95"/>
      <c r="V44" s="93"/>
      <c r="W44" s="93"/>
      <c r="X44" s="93"/>
      <c r="Y44" s="93"/>
      <c r="Z44" s="94"/>
      <c r="AA44" s="95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4"/>
      <c r="AO44" s="104"/>
      <c r="AP44" s="93"/>
      <c r="AQ44" s="94"/>
      <c r="AR44" s="96"/>
      <c r="AS44" s="97"/>
      <c r="AT44" s="98"/>
      <c r="AU44" s="92"/>
      <c r="AV44" s="93"/>
      <c r="AW44" s="93"/>
      <c r="AX44" s="93"/>
      <c r="AY44" s="93"/>
      <c r="AZ44" s="93"/>
      <c r="BA44" s="94"/>
    </row>
    <row r="45" spans="2:57" ht="14.1" customHeight="1" x14ac:dyDescent="0.25">
      <c r="B45" s="114"/>
      <c r="C45" s="93"/>
      <c r="D45" s="93"/>
      <c r="E45" s="93"/>
      <c r="F45" s="94"/>
      <c r="G45" s="96">
        <f>IFERROR(VLOOKUP($AN$6,'Bases - Cadastro'!$A$4:$C$35,2,0),"")</f>
        <v>210863</v>
      </c>
      <c r="H45" s="97"/>
      <c r="I45" s="97"/>
      <c r="J45" s="97"/>
      <c r="K45" s="98"/>
      <c r="L45" s="96" t="str">
        <f>IF(G45="","",VLOOKUP($AN$6,'Bases - Cadastro'!A:C,3,0))</f>
        <v>PROADI Projeto Aprimora Sus 2024/2026</v>
      </c>
      <c r="M45" s="97"/>
      <c r="N45" s="97"/>
      <c r="O45" s="97"/>
      <c r="P45" s="98"/>
      <c r="Q45" s="109"/>
      <c r="R45" s="93"/>
      <c r="S45" s="93"/>
      <c r="T45" s="93"/>
      <c r="U45" s="95"/>
      <c r="V45" s="93"/>
      <c r="W45" s="93"/>
      <c r="X45" s="93"/>
      <c r="Y45" s="93"/>
      <c r="Z45" s="94"/>
      <c r="AA45" s="95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4"/>
      <c r="AO45" s="104"/>
      <c r="AP45" s="93"/>
      <c r="AQ45" s="94"/>
      <c r="AR45" s="96"/>
      <c r="AS45" s="97"/>
      <c r="AT45" s="98"/>
      <c r="AU45" s="92"/>
      <c r="AV45" s="93"/>
      <c r="AW45" s="93"/>
      <c r="AX45" s="93"/>
      <c r="AY45" s="93"/>
      <c r="AZ45" s="93"/>
      <c r="BA45" s="94"/>
    </row>
    <row r="46" spans="2:57" ht="14.1" customHeight="1" x14ac:dyDescent="0.25">
      <c r="B46" s="114"/>
      <c r="C46" s="93"/>
      <c r="D46" s="93"/>
      <c r="E46" s="93"/>
      <c r="F46" s="94"/>
      <c r="G46" s="96">
        <f>IFERROR(VLOOKUP($AN$6,'Bases - Cadastro'!$A$4:$C$35,2,0),"")</f>
        <v>210863</v>
      </c>
      <c r="H46" s="97"/>
      <c r="I46" s="97"/>
      <c r="J46" s="97"/>
      <c r="K46" s="98"/>
      <c r="L46" s="96" t="str">
        <f>IF(G46="","",VLOOKUP($AN$6,'Bases - Cadastro'!A:C,3,0))</f>
        <v>PROADI Projeto Aprimora Sus 2024/2026</v>
      </c>
      <c r="M46" s="97"/>
      <c r="N46" s="97"/>
      <c r="O46" s="97"/>
      <c r="P46" s="98"/>
      <c r="Q46" s="109"/>
      <c r="R46" s="93"/>
      <c r="S46" s="93"/>
      <c r="T46" s="93"/>
      <c r="U46" s="95"/>
      <c r="V46" s="93"/>
      <c r="W46" s="93"/>
      <c r="X46" s="93"/>
      <c r="Y46" s="93"/>
      <c r="Z46" s="94"/>
      <c r="AA46" s="95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4"/>
      <c r="AO46" s="104"/>
      <c r="AP46" s="93"/>
      <c r="AQ46" s="94"/>
      <c r="AR46" s="96"/>
      <c r="AS46" s="97"/>
      <c r="AT46" s="98"/>
      <c r="AU46" s="92"/>
      <c r="AV46" s="93"/>
      <c r="AW46" s="93"/>
      <c r="AX46" s="93"/>
      <c r="AY46" s="93"/>
      <c r="AZ46" s="93"/>
      <c r="BA46" s="94"/>
    </row>
    <row r="47" spans="2:57" ht="14.1" customHeight="1" x14ac:dyDescent="0.25">
      <c r="B47" s="114"/>
      <c r="C47" s="93"/>
      <c r="D47" s="93"/>
      <c r="E47" s="93"/>
      <c r="F47" s="94"/>
      <c r="G47" s="96">
        <f>IFERROR(VLOOKUP($AN$6,'Bases - Cadastro'!$A$4:$C$35,2,0),"")</f>
        <v>210863</v>
      </c>
      <c r="H47" s="97"/>
      <c r="I47" s="97"/>
      <c r="J47" s="97"/>
      <c r="K47" s="98"/>
      <c r="L47" s="96" t="str">
        <f>IF(G47="","",VLOOKUP($AN$6,'Bases - Cadastro'!A:C,3,0))</f>
        <v>PROADI Projeto Aprimora Sus 2024/2026</v>
      </c>
      <c r="M47" s="97"/>
      <c r="N47" s="97"/>
      <c r="O47" s="97"/>
      <c r="P47" s="98"/>
      <c r="Q47" s="109"/>
      <c r="R47" s="93"/>
      <c r="S47" s="93"/>
      <c r="T47" s="93"/>
      <c r="U47" s="95"/>
      <c r="V47" s="93"/>
      <c r="W47" s="93"/>
      <c r="X47" s="93"/>
      <c r="Y47" s="93"/>
      <c r="Z47" s="94"/>
      <c r="AA47" s="95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4"/>
      <c r="AO47" s="104"/>
      <c r="AP47" s="93"/>
      <c r="AQ47" s="94"/>
      <c r="AR47" s="96"/>
      <c r="AS47" s="97"/>
      <c r="AT47" s="98"/>
      <c r="AU47" s="92"/>
      <c r="AV47" s="93"/>
      <c r="AW47" s="93"/>
      <c r="AX47" s="93"/>
      <c r="AY47" s="93"/>
      <c r="AZ47" s="93"/>
      <c r="BA47" s="94"/>
    </row>
    <row r="48" spans="2:57" ht="14.1" customHeight="1" x14ac:dyDescent="0.25">
      <c r="B48" s="114"/>
      <c r="C48" s="93"/>
      <c r="D48" s="93"/>
      <c r="E48" s="93"/>
      <c r="F48" s="94"/>
      <c r="G48" s="96">
        <f>IFERROR(VLOOKUP($AN$6,'Bases - Cadastro'!$A$4:$C$35,2,0),"")</f>
        <v>210863</v>
      </c>
      <c r="H48" s="97"/>
      <c r="I48" s="97"/>
      <c r="J48" s="97"/>
      <c r="K48" s="98"/>
      <c r="L48" s="96" t="str">
        <f>IF(G48="","",VLOOKUP($AN$6,'Bases - Cadastro'!A:C,3,0))</f>
        <v>PROADI Projeto Aprimora Sus 2024/2026</v>
      </c>
      <c r="M48" s="97"/>
      <c r="N48" s="97"/>
      <c r="O48" s="97"/>
      <c r="P48" s="98"/>
      <c r="Q48" s="109"/>
      <c r="R48" s="93"/>
      <c r="S48" s="93"/>
      <c r="T48" s="93"/>
      <c r="U48" s="95"/>
      <c r="V48" s="93"/>
      <c r="W48" s="93"/>
      <c r="X48" s="93"/>
      <c r="Y48" s="93"/>
      <c r="Z48" s="94"/>
      <c r="AA48" s="95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4"/>
      <c r="AO48" s="104"/>
      <c r="AP48" s="93"/>
      <c r="AQ48" s="94"/>
      <c r="AR48" s="96"/>
      <c r="AS48" s="97"/>
      <c r="AT48" s="98"/>
      <c r="AU48" s="92"/>
      <c r="AV48" s="93"/>
      <c r="AW48" s="93"/>
      <c r="AX48" s="93"/>
      <c r="AY48" s="93"/>
      <c r="AZ48" s="93"/>
      <c r="BA48" s="94"/>
    </row>
    <row r="49" spans="2:53" ht="14.1" customHeight="1" x14ac:dyDescent="0.25">
      <c r="B49" s="114"/>
      <c r="C49" s="93"/>
      <c r="D49" s="93"/>
      <c r="E49" s="93"/>
      <c r="F49" s="94"/>
      <c r="G49" s="96">
        <f>IFERROR(VLOOKUP($AN$6,'Bases - Cadastro'!$A$4:$C$35,2,0),"")</f>
        <v>210863</v>
      </c>
      <c r="H49" s="97"/>
      <c r="I49" s="97"/>
      <c r="J49" s="97"/>
      <c r="K49" s="98"/>
      <c r="L49" s="96" t="str">
        <f>IF(G49="","",VLOOKUP($AN$6,'Bases - Cadastro'!A:C,3,0))</f>
        <v>PROADI Projeto Aprimora Sus 2024/2026</v>
      </c>
      <c r="M49" s="97"/>
      <c r="N49" s="97"/>
      <c r="O49" s="97"/>
      <c r="P49" s="98"/>
      <c r="Q49" s="109"/>
      <c r="R49" s="93"/>
      <c r="S49" s="93"/>
      <c r="T49" s="93"/>
      <c r="U49" s="95"/>
      <c r="V49" s="93"/>
      <c r="W49" s="93"/>
      <c r="X49" s="93"/>
      <c r="Y49" s="93"/>
      <c r="Z49" s="94"/>
      <c r="AA49" s="95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4"/>
      <c r="AO49" s="104"/>
      <c r="AP49" s="93"/>
      <c r="AQ49" s="94"/>
      <c r="AR49" s="96"/>
      <c r="AS49" s="97"/>
      <c r="AT49" s="98"/>
      <c r="AU49" s="92"/>
      <c r="AV49" s="93"/>
      <c r="AW49" s="93"/>
      <c r="AX49" s="93"/>
      <c r="AY49" s="93"/>
      <c r="AZ49" s="93"/>
      <c r="BA49" s="94"/>
    </row>
    <row r="50" spans="2:53" ht="14.1" customHeight="1" x14ac:dyDescent="0.25">
      <c r="B50" s="114"/>
      <c r="C50" s="93"/>
      <c r="D50" s="93"/>
      <c r="E50" s="93"/>
      <c r="F50" s="94"/>
      <c r="G50" s="96">
        <f>IFERROR(VLOOKUP($AN$6,'Bases - Cadastro'!$A$4:$C$35,2,0),"")</f>
        <v>210863</v>
      </c>
      <c r="H50" s="97"/>
      <c r="I50" s="97"/>
      <c r="J50" s="97"/>
      <c r="K50" s="98"/>
      <c r="L50" s="96" t="str">
        <f>IF(G50="","",VLOOKUP($AN$6,'Bases - Cadastro'!A:C,3,0))</f>
        <v>PROADI Projeto Aprimora Sus 2024/2026</v>
      </c>
      <c r="M50" s="97"/>
      <c r="N50" s="97"/>
      <c r="O50" s="97"/>
      <c r="P50" s="98"/>
      <c r="Q50" s="109"/>
      <c r="R50" s="93"/>
      <c r="S50" s="93"/>
      <c r="T50" s="93"/>
      <c r="U50" s="95"/>
      <c r="V50" s="93"/>
      <c r="W50" s="93"/>
      <c r="X50" s="93"/>
      <c r="Y50" s="93"/>
      <c r="Z50" s="94"/>
      <c r="AA50" s="141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O50" s="104"/>
      <c r="AP50" s="93"/>
      <c r="AQ50" s="94"/>
      <c r="AR50" s="96"/>
      <c r="AS50" s="97"/>
      <c r="AT50" s="98"/>
      <c r="AU50" s="92"/>
      <c r="AV50" s="93"/>
      <c r="AW50" s="93"/>
      <c r="AX50" s="93"/>
      <c r="AY50" s="93"/>
      <c r="AZ50" s="93"/>
      <c r="BA50" s="94"/>
    </row>
    <row r="51" spans="2:53" ht="14.1" customHeight="1" x14ac:dyDescent="0.25">
      <c r="B51" s="114"/>
      <c r="C51" s="93"/>
      <c r="D51" s="93"/>
      <c r="E51" s="93"/>
      <c r="F51" s="94"/>
      <c r="G51" s="96">
        <f>IFERROR(VLOOKUP($AN$6,'Bases - Cadastro'!$A$4:$C$35,2,0),"")</f>
        <v>210863</v>
      </c>
      <c r="H51" s="97"/>
      <c r="I51" s="97"/>
      <c r="J51" s="97"/>
      <c r="K51" s="98"/>
      <c r="L51" s="96" t="str">
        <f>IF(G51="","",VLOOKUP($AN$6,'Bases - Cadastro'!A:C,3,0))</f>
        <v>PROADI Projeto Aprimora Sus 2024/2026</v>
      </c>
      <c r="M51" s="97"/>
      <c r="N51" s="97"/>
      <c r="O51" s="97"/>
      <c r="P51" s="98"/>
      <c r="Q51" s="109"/>
      <c r="R51" s="93"/>
      <c r="S51" s="93"/>
      <c r="T51" s="93"/>
      <c r="U51" s="95"/>
      <c r="V51" s="93"/>
      <c r="W51" s="93"/>
      <c r="X51" s="93"/>
      <c r="Y51" s="93"/>
      <c r="Z51" s="94"/>
      <c r="AA51" s="95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4"/>
      <c r="AO51" s="104"/>
      <c r="AP51" s="93"/>
      <c r="AQ51" s="94"/>
      <c r="AR51" s="96"/>
      <c r="AS51" s="97"/>
      <c r="AT51" s="98"/>
      <c r="AU51" s="92"/>
      <c r="AV51" s="93"/>
      <c r="AW51" s="93"/>
      <c r="AX51" s="93"/>
      <c r="AY51" s="93"/>
      <c r="AZ51" s="93"/>
      <c r="BA51" s="94"/>
    </row>
    <row r="52" spans="2:53" ht="14.1" customHeight="1" x14ac:dyDescent="0.25">
      <c r="B52" s="114"/>
      <c r="C52" s="93"/>
      <c r="D52" s="93"/>
      <c r="E52" s="93"/>
      <c r="F52" s="94"/>
      <c r="G52" s="96">
        <f>IFERROR(VLOOKUP($AN$6,'Bases - Cadastro'!$A$4:$C$35,2,0),"")</f>
        <v>210863</v>
      </c>
      <c r="H52" s="97"/>
      <c r="I52" s="97"/>
      <c r="J52" s="97"/>
      <c r="K52" s="98"/>
      <c r="L52" s="96" t="str">
        <f>IF(G52="","",VLOOKUP($AN$6,'Bases - Cadastro'!A:C,3,0))</f>
        <v>PROADI Projeto Aprimora Sus 2024/2026</v>
      </c>
      <c r="M52" s="97"/>
      <c r="N52" s="97"/>
      <c r="O52" s="97"/>
      <c r="P52" s="98"/>
      <c r="Q52" s="109"/>
      <c r="R52" s="93"/>
      <c r="S52" s="93"/>
      <c r="T52" s="93"/>
      <c r="U52" s="95"/>
      <c r="V52" s="93"/>
      <c r="W52" s="93"/>
      <c r="X52" s="93"/>
      <c r="Y52" s="93"/>
      <c r="Z52" s="94"/>
      <c r="AA52" s="95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4"/>
      <c r="AO52" s="104"/>
      <c r="AP52" s="93"/>
      <c r="AQ52" s="94"/>
      <c r="AR52" s="96"/>
      <c r="AS52" s="97"/>
      <c r="AT52" s="98"/>
      <c r="AU52" s="92"/>
      <c r="AV52" s="93"/>
      <c r="AW52" s="93"/>
      <c r="AX52" s="93"/>
      <c r="AY52" s="93"/>
      <c r="AZ52" s="93"/>
      <c r="BA52" s="94"/>
    </row>
    <row r="53" spans="2:53" ht="14.1" customHeight="1" x14ac:dyDescent="0.25">
      <c r="B53" s="114"/>
      <c r="C53" s="93"/>
      <c r="D53" s="93"/>
      <c r="E53" s="93"/>
      <c r="F53" s="94"/>
      <c r="G53" s="96">
        <f>IFERROR(VLOOKUP($AN$6,'Bases - Cadastro'!$A$4:$C$35,2,0),"")</f>
        <v>210863</v>
      </c>
      <c r="H53" s="97"/>
      <c r="I53" s="97"/>
      <c r="J53" s="97"/>
      <c r="K53" s="98"/>
      <c r="L53" s="96" t="str">
        <f>IF(G53="","",VLOOKUP($AN$6,'Bases - Cadastro'!A:C,3,0))</f>
        <v>PROADI Projeto Aprimora Sus 2024/2026</v>
      </c>
      <c r="M53" s="97"/>
      <c r="N53" s="97"/>
      <c r="O53" s="97"/>
      <c r="P53" s="98"/>
      <c r="Q53" s="109"/>
      <c r="R53" s="93"/>
      <c r="S53" s="93"/>
      <c r="T53" s="93"/>
      <c r="U53" s="95"/>
      <c r="V53" s="93"/>
      <c r="W53" s="93"/>
      <c r="X53" s="93"/>
      <c r="Y53" s="93"/>
      <c r="Z53" s="94"/>
      <c r="AA53" s="95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4"/>
      <c r="AO53" s="104"/>
      <c r="AP53" s="93"/>
      <c r="AQ53" s="94"/>
      <c r="AR53" s="96"/>
      <c r="AS53" s="97"/>
      <c r="AT53" s="98"/>
      <c r="AU53" s="92"/>
      <c r="AV53" s="93"/>
      <c r="AW53" s="93"/>
      <c r="AX53" s="93"/>
      <c r="AY53" s="93"/>
      <c r="AZ53" s="93"/>
      <c r="BA53" s="94"/>
    </row>
    <row r="54" spans="2:53" ht="14.1" customHeight="1" x14ac:dyDescent="0.25">
      <c r="B54" s="114"/>
      <c r="C54" s="93"/>
      <c r="D54" s="93"/>
      <c r="E54" s="93"/>
      <c r="F54" s="94"/>
      <c r="G54" s="96">
        <f>IFERROR(VLOOKUP($AN$6,'Bases - Cadastro'!$A$4:$C$35,2,0),"")</f>
        <v>210863</v>
      </c>
      <c r="H54" s="97"/>
      <c r="I54" s="97"/>
      <c r="J54" s="97"/>
      <c r="K54" s="98"/>
      <c r="L54" s="96" t="str">
        <f>IF(G54="","",VLOOKUP($AN$6,'Bases - Cadastro'!A:C,3,0))</f>
        <v>PROADI Projeto Aprimora Sus 2024/2026</v>
      </c>
      <c r="M54" s="97"/>
      <c r="N54" s="97"/>
      <c r="O54" s="97"/>
      <c r="P54" s="98"/>
      <c r="Q54" s="109"/>
      <c r="R54" s="93"/>
      <c r="S54" s="93"/>
      <c r="T54" s="93"/>
      <c r="U54" s="95"/>
      <c r="V54" s="93"/>
      <c r="W54" s="93"/>
      <c r="X54" s="93"/>
      <c r="Y54" s="93"/>
      <c r="Z54" s="94"/>
      <c r="AA54" s="95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4"/>
      <c r="AO54" s="104"/>
      <c r="AP54" s="93"/>
      <c r="AQ54" s="94"/>
      <c r="AR54" s="96"/>
      <c r="AS54" s="97"/>
      <c r="AT54" s="98"/>
      <c r="AU54" s="92"/>
      <c r="AV54" s="93"/>
      <c r="AW54" s="93"/>
      <c r="AX54" s="93"/>
      <c r="AY54" s="93"/>
      <c r="AZ54" s="93"/>
      <c r="BA54" s="94"/>
    </row>
    <row r="55" spans="2:53" ht="14.1" customHeight="1" x14ac:dyDescent="0.25">
      <c r="B55" s="114"/>
      <c r="C55" s="93"/>
      <c r="D55" s="93"/>
      <c r="E55" s="93"/>
      <c r="F55" s="94"/>
      <c r="G55" s="96">
        <f>IFERROR(VLOOKUP($AN$6,'Bases - Cadastro'!$A$4:$C$35,2,0),"")</f>
        <v>210863</v>
      </c>
      <c r="H55" s="97"/>
      <c r="I55" s="97"/>
      <c r="J55" s="97"/>
      <c r="K55" s="98"/>
      <c r="L55" s="96" t="str">
        <f>IF(G55="","",VLOOKUP($AN$6,'Bases - Cadastro'!A:C,3,0))</f>
        <v>PROADI Projeto Aprimora Sus 2024/2026</v>
      </c>
      <c r="M55" s="97"/>
      <c r="N55" s="97"/>
      <c r="O55" s="97"/>
      <c r="P55" s="98"/>
      <c r="Q55" s="109"/>
      <c r="R55" s="93"/>
      <c r="S55" s="93"/>
      <c r="T55" s="93"/>
      <c r="U55" s="95"/>
      <c r="V55" s="93"/>
      <c r="W55" s="93"/>
      <c r="X55" s="93"/>
      <c r="Y55" s="93"/>
      <c r="Z55" s="94"/>
      <c r="AA55" s="95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4"/>
      <c r="AO55" s="104"/>
      <c r="AP55" s="93"/>
      <c r="AQ55" s="94"/>
      <c r="AR55" s="96"/>
      <c r="AS55" s="97"/>
      <c r="AT55" s="98"/>
      <c r="AU55" s="92"/>
      <c r="AV55" s="93"/>
      <c r="AW55" s="93"/>
      <c r="AX55" s="93"/>
      <c r="AY55" s="93"/>
      <c r="AZ55" s="93"/>
      <c r="BA55" s="94"/>
    </row>
    <row r="56" spans="2:53" ht="14.1" customHeight="1" x14ac:dyDescent="0.25">
      <c r="B56" s="114"/>
      <c r="C56" s="93"/>
      <c r="D56" s="93"/>
      <c r="E56" s="93"/>
      <c r="F56" s="94"/>
      <c r="G56" s="96">
        <f>IFERROR(VLOOKUP($AN$6,'Bases - Cadastro'!$A$4:$C$35,2,0),"")</f>
        <v>210863</v>
      </c>
      <c r="H56" s="97"/>
      <c r="I56" s="97"/>
      <c r="J56" s="97"/>
      <c r="K56" s="98"/>
      <c r="L56" s="96" t="str">
        <f>IF(G56="","",VLOOKUP($AN$6,'Bases - Cadastro'!A:C,3,0))</f>
        <v>PROADI Projeto Aprimora Sus 2024/2026</v>
      </c>
      <c r="M56" s="97"/>
      <c r="N56" s="97"/>
      <c r="O56" s="97"/>
      <c r="P56" s="98"/>
      <c r="Q56" s="109"/>
      <c r="R56" s="93"/>
      <c r="S56" s="93"/>
      <c r="T56" s="93"/>
      <c r="U56" s="95"/>
      <c r="V56" s="93"/>
      <c r="W56" s="93"/>
      <c r="X56" s="93"/>
      <c r="Y56" s="93"/>
      <c r="Z56" s="94"/>
      <c r="AA56" s="139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4"/>
      <c r="AO56" s="104"/>
      <c r="AP56" s="93"/>
      <c r="AQ56" s="94"/>
      <c r="AR56" s="96"/>
      <c r="AS56" s="97"/>
      <c r="AT56" s="98"/>
      <c r="AU56" s="92"/>
      <c r="AV56" s="93"/>
      <c r="AW56" s="93"/>
      <c r="AX56" s="93"/>
      <c r="AY56" s="93"/>
      <c r="AZ56" s="93"/>
      <c r="BA56" s="94"/>
    </row>
    <row r="57" spans="2:53" ht="14.1" customHeight="1" x14ac:dyDescent="0.25">
      <c r="B57" s="114"/>
      <c r="C57" s="93"/>
      <c r="D57" s="93"/>
      <c r="E57" s="93"/>
      <c r="F57" s="94"/>
      <c r="G57" s="96">
        <f>IFERROR(VLOOKUP($AN$6,'Bases - Cadastro'!$A$4:$C$35,2,0),"")</f>
        <v>210863</v>
      </c>
      <c r="H57" s="97"/>
      <c r="I57" s="97"/>
      <c r="J57" s="97"/>
      <c r="K57" s="98"/>
      <c r="L57" s="96" t="str">
        <f>IF(G57="","",VLOOKUP($AN$6,'Bases - Cadastro'!A:C,3,0))</f>
        <v>PROADI Projeto Aprimora Sus 2024/2026</v>
      </c>
      <c r="M57" s="97"/>
      <c r="N57" s="97"/>
      <c r="O57" s="97"/>
      <c r="P57" s="98"/>
      <c r="Q57" s="109"/>
      <c r="R57" s="93"/>
      <c r="S57" s="93"/>
      <c r="T57" s="93"/>
      <c r="U57" s="95"/>
      <c r="V57" s="93"/>
      <c r="W57" s="93"/>
      <c r="X57" s="93"/>
      <c r="Y57" s="93"/>
      <c r="Z57" s="94"/>
      <c r="AA57" s="95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4"/>
      <c r="AO57" s="104"/>
      <c r="AP57" s="93"/>
      <c r="AQ57" s="94"/>
      <c r="AR57" s="96"/>
      <c r="AS57" s="97"/>
      <c r="AT57" s="98"/>
      <c r="AU57" s="92"/>
      <c r="AV57" s="93"/>
      <c r="AW57" s="93"/>
      <c r="AX57" s="93"/>
      <c r="AY57" s="93"/>
      <c r="AZ57" s="93"/>
      <c r="BA57" s="94"/>
    </row>
    <row r="58" spans="2:53" ht="14.1" customHeight="1" x14ac:dyDescent="0.25">
      <c r="B58" s="114"/>
      <c r="C58" s="93"/>
      <c r="D58" s="93"/>
      <c r="E58" s="93"/>
      <c r="F58" s="94"/>
      <c r="G58" s="96">
        <f>IFERROR(VLOOKUP($AN$6,'Bases - Cadastro'!$A$4:$C$35,2,0),"")</f>
        <v>210863</v>
      </c>
      <c r="H58" s="97"/>
      <c r="I58" s="97"/>
      <c r="J58" s="97"/>
      <c r="K58" s="98"/>
      <c r="L58" s="96" t="str">
        <f>IF(G58="","",VLOOKUP($AN$6,'Bases - Cadastro'!A:C,3,0))</f>
        <v>PROADI Projeto Aprimora Sus 2024/2026</v>
      </c>
      <c r="M58" s="97"/>
      <c r="N58" s="97"/>
      <c r="O58" s="97"/>
      <c r="P58" s="98"/>
      <c r="Q58" s="109"/>
      <c r="R58" s="93"/>
      <c r="S58" s="93"/>
      <c r="T58" s="93"/>
      <c r="U58" s="95"/>
      <c r="V58" s="93"/>
      <c r="W58" s="93"/>
      <c r="X58" s="93"/>
      <c r="Y58" s="93"/>
      <c r="Z58" s="94"/>
      <c r="AA58" s="95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4"/>
      <c r="AO58" s="104"/>
      <c r="AP58" s="93"/>
      <c r="AQ58" s="94"/>
      <c r="AR58" s="96"/>
      <c r="AS58" s="97"/>
      <c r="AT58" s="98"/>
      <c r="AU58" s="92"/>
      <c r="AV58" s="93"/>
      <c r="AW58" s="93"/>
      <c r="AX58" s="93"/>
      <c r="AY58" s="93"/>
      <c r="AZ58" s="93"/>
      <c r="BA58" s="94"/>
    </row>
    <row r="59" spans="2:53" ht="14.1" customHeight="1" x14ac:dyDescent="0.25">
      <c r="B59" s="114"/>
      <c r="C59" s="93"/>
      <c r="D59" s="93"/>
      <c r="E59" s="93"/>
      <c r="F59" s="94"/>
      <c r="G59" s="96">
        <f>IFERROR(VLOOKUP($AN$6,'Bases - Cadastro'!$A$4:$C$35,2,0),"")</f>
        <v>210863</v>
      </c>
      <c r="H59" s="97"/>
      <c r="I59" s="97"/>
      <c r="J59" s="97"/>
      <c r="K59" s="98"/>
      <c r="L59" s="96" t="str">
        <f>IF(G59="","",VLOOKUP($AN$6,'Bases - Cadastro'!A:C,3,0))</f>
        <v>PROADI Projeto Aprimora Sus 2024/2026</v>
      </c>
      <c r="M59" s="97"/>
      <c r="N59" s="97"/>
      <c r="O59" s="97"/>
      <c r="P59" s="98"/>
      <c r="Q59" s="109"/>
      <c r="R59" s="93"/>
      <c r="S59" s="93"/>
      <c r="T59" s="93"/>
      <c r="U59" s="95"/>
      <c r="V59" s="93"/>
      <c r="W59" s="93"/>
      <c r="X59" s="93"/>
      <c r="Y59" s="93"/>
      <c r="Z59" s="94"/>
      <c r="AA59" s="95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4"/>
      <c r="AO59" s="104"/>
      <c r="AP59" s="93"/>
      <c r="AQ59" s="94"/>
      <c r="AR59" s="96"/>
      <c r="AS59" s="97"/>
      <c r="AT59" s="98"/>
      <c r="AU59" s="92"/>
      <c r="AV59" s="93"/>
      <c r="AW59" s="93"/>
      <c r="AX59" s="93"/>
      <c r="AY59" s="93"/>
      <c r="AZ59" s="93"/>
      <c r="BA59" s="94"/>
    </row>
    <row r="60" spans="2:53" ht="14.1" customHeight="1" x14ac:dyDescent="0.25">
      <c r="B60" s="114"/>
      <c r="C60" s="93"/>
      <c r="D60" s="93"/>
      <c r="E60" s="93"/>
      <c r="F60" s="94"/>
      <c r="G60" s="96">
        <f>IFERROR(VLOOKUP($AN$6,'Bases - Cadastro'!$A$4:$C$35,2,0),"")</f>
        <v>210863</v>
      </c>
      <c r="H60" s="97"/>
      <c r="I60" s="97"/>
      <c r="J60" s="97"/>
      <c r="K60" s="98"/>
      <c r="L60" s="96" t="str">
        <f>IF(G60="","",VLOOKUP($AN$6,'Bases - Cadastro'!A:C,3,0))</f>
        <v>PROADI Projeto Aprimora Sus 2024/2026</v>
      </c>
      <c r="M60" s="97"/>
      <c r="N60" s="97"/>
      <c r="O60" s="97"/>
      <c r="P60" s="98"/>
      <c r="Q60" s="109"/>
      <c r="R60" s="93"/>
      <c r="S60" s="93"/>
      <c r="T60" s="93"/>
      <c r="U60" s="95"/>
      <c r="V60" s="93"/>
      <c r="W60" s="93"/>
      <c r="X60" s="93"/>
      <c r="Y60" s="93"/>
      <c r="Z60" s="94"/>
      <c r="AA60" s="95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4"/>
      <c r="AO60" s="104"/>
      <c r="AP60" s="93"/>
      <c r="AQ60" s="94"/>
      <c r="AR60" s="96"/>
      <c r="AS60" s="97"/>
      <c r="AT60" s="98"/>
      <c r="AU60" s="92"/>
      <c r="AV60" s="93"/>
      <c r="AW60" s="93"/>
      <c r="AX60" s="93"/>
      <c r="AY60" s="93"/>
      <c r="AZ60" s="93"/>
      <c r="BA60" s="94"/>
    </row>
    <row r="61" spans="2:53" ht="14.1" customHeight="1" x14ac:dyDescent="0.25">
      <c r="B61" s="114"/>
      <c r="C61" s="93"/>
      <c r="D61" s="93"/>
      <c r="E61" s="93"/>
      <c r="F61" s="94"/>
      <c r="G61" s="96">
        <f>IFERROR(VLOOKUP($AN$6,'Bases - Cadastro'!$A$4:$C$35,2,0),"")</f>
        <v>210863</v>
      </c>
      <c r="H61" s="97"/>
      <c r="I61" s="97"/>
      <c r="J61" s="97"/>
      <c r="K61" s="98"/>
      <c r="L61" s="96" t="str">
        <f>IF(G61="","",VLOOKUP($AN$6,'Bases - Cadastro'!A:C,3,0))</f>
        <v>PROADI Projeto Aprimora Sus 2024/2026</v>
      </c>
      <c r="M61" s="97"/>
      <c r="N61" s="97"/>
      <c r="O61" s="97"/>
      <c r="P61" s="98"/>
      <c r="Q61" s="109"/>
      <c r="R61" s="93"/>
      <c r="S61" s="93"/>
      <c r="T61" s="93"/>
      <c r="U61" s="95"/>
      <c r="V61" s="93"/>
      <c r="W61" s="93"/>
      <c r="X61" s="93"/>
      <c r="Y61" s="93"/>
      <c r="Z61" s="94"/>
      <c r="AA61" s="95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4"/>
      <c r="AO61" s="104"/>
      <c r="AP61" s="93"/>
      <c r="AQ61" s="94"/>
      <c r="AR61" s="96"/>
      <c r="AS61" s="97"/>
      <c r="AT61" s="98"/>
      <c r="AU61" s="92"/>
      <c r="AV61" s="93"/>
      <c r="AW61" s="93"/>
      <c r="AX61" s="93"/>
      <c r="AY61" s="93"/>
      <c r="AZ61" s="93"/>
      <c r="BA61" s="94"/>
    </row>
    <row r="62" spans="2:53" ht="14.1" customHeight="1" x14ac:dyDescent="0.25">
      <c r="B62" s="114"/>
      <c r="C62" s="93"/>
      <c r="D62" s="93"/>
      <c r="E62" s="93"/>
      <c r="F62" s="94"/>
      <c r="G62" s="96">
        <f>IFERROR(VLOOKUP($AN$6,'Bases - Cadastro'!$A$4:$C$35,2,0),"")</f>
        <v>210863</v>
      </c>
      <c r="H62" s="97"/>
      <c r="I62" s="97"/>
      <c r="J62" s="97"/>
      <c r="K62" s="98"/>
      <c r="L62" s="96" t="str">
        <f>IF(G62="","",VLOOKUP($AN$6,'Bases - Cadastro'!A:C,3,0))</f>
        <v>PROADI Projeto Aprimora Sus 2024/2026</v>
      </c>
      <c r="M62" s="97"/>
      <c r="N62" s="97"/>
      <c r="O62" s="97"/>
      <c r="P62" s="98"/>
      <c r="Q62" s="109"/>
      <c r="R62" s="93"/>
      <c r="S62" s="93"/>
      <c r="T62" s="93"/>
      <c r="U62" s="95"/>
      <c r="V62" s="93"/>
      <c r="W62" s="93"/>
      <c r="X62" s="93"/>
      <c r="Y62" s="93"/>
      <c r="Z62" s="94"/>
      <c r="AA62" s="95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4"/>
      <c r="AO62" s="104"/>
      <c r="AP62" s="93"/>
      <c r="AQ62" s="94"/>
      <c r="AR62" s="96"/>
      <c r="AS62" s="97"/>
      <c r="AT62" s="98"/>
      <c r="AU62" s="92"/>
      <c r="AV62" s="93"/>
      <c r="AW62" s="93"/>
      <c r="AX62" s="93"/>
      <c r="AY62" s="93"/>
      <c r="AZ62" s="93"/>
      <c r="BA62" s="94"/>
    </row>
    <row r="63" spans="2:53" ht="14.1" customHeight="1" x14ac:dyDescent="0.25">
      <c r="B63" s="114"/>
      <c r="C63" s="93"/>
      <c r="D63" s="93"/>
      <c r="E63" s="93"/>
      <c r="F63" s="94"/>
      <c r="G63" s="96">
        <f>IFERROR(VLOOKUP($AN$6,'Bases - Cadastro'!$A$4:$C$35,2,0),"")</f>
        <v>210863</v>
      </c>
      <c r="H63" s="97"/>
      <c r="I63" s="97"/>
      <c r="J63" s="97"/>
      <c r="K63" s="98"/>
      <c r="L63" s="96" t="str">
        <f>IF(G63="","",VLOOKUP($AN$6,'Bases - Cadastro'!A:C,3,0))</f>
        <v>PROADI Projeto Aprimora Sus 2024/2026</v>
      </c>
      <c r="M63" s="97"/>
      <c r="N63" s="97"/>
      <c r="O63" s="97"/>
      <c r="P63" s="98"/>
      <c r="Q63" s="132"/>
      <c r="R63" s="93"/>
      <c r="S63" s="93"/>
      <c r="T63" s="94"/>
      <c r="U63" s="95"/>
      <c r="V63" s="93"/>
      <c r="W63" s="93"/>
      <c r="X63" s="93"/>
      <c r="Y63" s="93"/>
      <c r="Z63" s="94"/>
      <c r="AA63" s="95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4"/>
      <c r="AO63" s="104"/>
      <c r="AP63" s="93"/>
      <c r="AQ63" s="94"/>
      <c r="AR63" s="96"/>
      <c r="AS63" s="97"/>
      <c r="AT63" s="98"/>
      <c r="AU63" s="92"/>
      <c r="AV63" s="93"/>
      <c r="AW63" s="93"/>
      <c r="AX63" s="93"/>
      <c r="AY63" s="93"/>
      <c r="AZ63" s="93"/>
      <c r="BA63" s="94"/>
    </row>
    <row r="64" spans="2:53" ht="14.1" customHeight="1" x14ac:dyDescent="0.25">
      <c r="B64" s="114"/>
      <c r="C64" s="93"/>
      <c r="D64" s="93"/>
      <c r="E64" s="93"/>
      <c r="F64" s="94"/>
      <c r="G64" s="96">
        <f>IFERROR(VLOOKUP($AN$6,'Bases - Cadastro'!$A$4:$C$35,2,0),"")</f>
        <v>210863</v>
      </c>
      <c r="H64" s="97"/>
      <c r="I64" s="97"/>
      <c r="J64" s="97"/>
      <c r="K64" s="98"/>
      <c r="L64" s="96" t="str">
        <f>IF(G64="","",VLOOKUP($AN$6,'Bases - Cadastro'!A:C,3,0))</f>
        <v>PROADI Projeto Aprimora Sus 2024/2026</v>
      </c>
      <c r="M64" s="97"/>
      <c r="N64" s="97"/>
      <c r="O64" s="97"/>
      <c r="P64" s="98"/>
      <c r="Q64" s="132"/>
      <c r="R64" s="93"/>
      <c r="S64" s="93"/>
      <c r="T64" s="94"/>
      <c r="U64" s="95"/>
      <c r="V64" s="93"/>
      <c r="W64" s="93"/>
      <c r="X64" s="93"/>
      <c r="Y64" s="93"/>
      <c r="Z64" s="94"/>
      <c r="AA64" s="95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4"/>
      <c r="AO64" s="104"/>
      <c r="AP64" s="93"/>
      <c r="AQ64" s="94"/>
      <c r="AR64" s="96" t="str">
        <f t="shared" ref="AR64:AR79" si="0">IFERROR(VLOOKUP($AO64,$D$87:$U$95,13,0),"")</f>
        <v/>
      </c>
      <c r="AS64" s="97"/>
      <c r="AT64" s="98"/>
      <c r="AU64" s="92"/>
      <c r="AV64" s="93"/>
      <c r="AW64" s="93"/>
      <c r="AX64" s="93"/>
      <c r="AY64" s="93"/>
      <c r="AZ64" s="93"/>
      <c r="BA64" s="94"/>
    </row>
    <row r="65" spans="2:57" ht="14.1" customHeight="1" x14ac:dyDescent="0.25">
      <c r="B65" s="114"/>
      <c r="C65" s="93"/>
      <c r="D65" s="93"/>
      <c r="E65" s="93"/>
      <c r="F65" s="94"/>
      <c r="G65" s="96">
        <f>IFERROR(VLOOKUP($AN$6,'Bases - Cadastro'!$A$4:$C$35,2,0),"")</f>
        <v>210863</v>
      </c>
      <c r="H65" s="97"/>
      <c r="I65" s="97"/>
      <c r="J65" s="97"/>
      <c r="K65" s="98"/>
      <c r="L65" s="96" t="str">
        <f>IF(G65="","",VLOOKUP($AN$6,'Bases - Cadastro'!A:C,3,0))</f>
        <v>PROADI Projeto Aprimora Sus 2024/2026</v>
      </c>
      <c r="M65" s="97"/>
      <c r="N65" s="97"/>
      <c r="O65" s="97"/>
      <c r="P65" s="98"/>
      <c r="Q65" s="132"/>
      <c r="R65" s="93"/>
      <c r="S65" s="93"/>
      <c r="T65" s="94"/>
      <c r="U65" s="95"/>
      <c r="V65" s="93"/>
      <c r="W65" s="93"/>
      <c r="X65" s="93"/>
      <c r="Y65" s="93"/>
      <c r="Z65" s="94"/>
      <c r="AA65" s="95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4"/>
      <c r="AO65" s="104"/>
      <c r="AP65" s="93"/>
      <c r="AQ65" s="94"/>
      <c r="AR65" s="96" t="str">
        <f t="shared" si="0"/>
        <v/>
      </c>
      <c r="AS65" s="97"/>
      <c r="AT65" s="98"/>
      <c r="AU65" s="92"/>
      <c r="AV65" s="93"/>
      <c r="AW65" s="93"/>
      <c r="AX65" s="93"/>
      <c r="AY65" s="93"/>
      <c r="AZ65" s="93"/>
      <c r="BA65" s="94"/>
    </row>
    <row r="66" spans="2:57" ht="14.1" customHeight="1" x14ac:dyDescent="0.25">
      <c r="B66" s="114"/>
      <c r="C66" s="93"/>
      <c r="D66" s="93"/>
      <c r="E66" s="93"/>
      <c r="F66" s="94"/>
      <c r="G66" s="96">
        <f>IFERROR(VLOOKUP($AN$6,'Bases - Cadastro'!$A$4:$C$35,2,0),"")</f>
        <v>210863</v>
      </c>
      <c r="H66" s="97"/>
      <c r="I66" s="97"/>
      <c r="J66" s="97"/>
      <c r="K66" s="98"/>
      <c r="L66" s="96" t="str">
        <f>IF(G66="","",VLOOKUP($AN$6,'Bases - Cadastro'!A:C,3,0))</f>
        <v>PROADI Projeto Aprimora Sus 2024/2026</v>
      </c>
      <c r="M66" s="97"/>
      <c r="N66" s="97"/>
      <c r="O66" s="97"/>
      <c r="P66" s="98"/>
      <c r="Q66" s="132"/>
      <c r="R66" s="93"/>
      <c r="S66" s="93"/>
      <c r="T66" s="94"/>
      <c r="U66" s="95"/>
      <c r="V66" s="93"/>
      <c r="W66" s="93"/>
      <c r="X66" s="93"/>
      <c r="Y66" s="93"/>
      <c r="Z66" s="94"/>
      <c r="AA66" s="95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4"/>
      <c r="AO66" s="104"/>
      <c r="AP66" s="93"/>
      <c r="AQ66" s="94"/>
      <c r="AR66" s="96" t="str">
        <f t="shared" si="0"/>
        <v/>
      </c>
      <c r="AS66" s="97"/>
      <c r="AT66" s="98"/>
      <c r="AU66" s="92"/>
      <c r="AV66" s="93"/>
      <c r="AW66" s="93"/>
      <c r="AX66" s="93"/>
      <c r="AY66" s="93"/>
      <c r="AZ66" s="93"/>
      <c r="BA66" s="94"/>
    </row>
    <row r="67" spans="2:57" ht="14.1" customHeight="1" x14ac:dyDescent="0.25">
      <c r="B67" s="114"/>
      <c r="C67" s="93"/>
      <c r="D67" s="93"/>
      <c r="E67" s="93"/>
      <c r="F67" s="94"/>
      <c r="G67" s="96">
        <f>IFERROR(VLOOKUP($AN$6,'Bases - Cadastro'!$A$4:$C$35,2,0),"")</f>
        <v>210863</v>
      </c>
      <c r="H67" s="97"/>
      <c r="I67" s="97"/>
      <c r="J67" s="97"/>
      <c r="K67" s="98"/>
      <c r="L67" s="96" t="str">
        <f>IF(G67="","",VLOOKUP($AN$6,'Bases - Cadastro'!A:C,3,0))</f>
        <v>PROADI Projeto Aprimora Sus 2024/2026</v>
      </c>
      <c r="M67" s="97"/>
      <c r="N67" s="97"/>
      <c r="O67" s="97"/>
      <c r="P67" s="98"/>
      <c r="Q67" s="132"/>
      <c r="R67" s="93"/>
      <c r="S67" s="93"/>
      <c r="T67" s="94"/>
      <c r="U67" s="95"/>
      <c r="V67" s="93"/>
      <c r="W67" s="93"/>
      <c r="X67" s="93"/>
      <c r="Y67" s="93"/>
      <c r="Z67" s="94"/>
      <c r="AA67" s="95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4"/>
      <c r="AO67" s="104"/>
      <c r="AP67" s="93"/>
      <c r="AQ67" s="94"/>
      <c r="AR67" s="96" t="str">
        <f t="shared" si="0"/>
        <v/>
      </c>
      <c r="AS67" s="97"/>
      <c r="AT67" s="98"/>
      <c r="AU67" s="92"/>
      <c r="AV67" s="93"/>
      <c r="AW67" s="93"/>
      <c r="AX67" s="93"/>
      <c r="AY67" s="93"/>
      <c r="AZ67" s="93"/>
      <c r="BA67" s="94"/>
    </row>
    <row r="68" spans="2:57" ht="14.1" customHeight="1" x14ac:dyDescent="0.25">
      <c r="B68" s="114"/>
      <c r="C68" s="93"/>
      <c r="D68" s="93"/>
      <c r="E68" s="93"/>
      <c r="F68" s="94"/>
      <c r="G68" s="96">
        <f>IFERROR(VLOOKUP($AN$6,'Bases - Cadastro'!$A$4:$C$35,2,0),"")</f>
        <v>210863</v>
      </c>
      <c r="H68" s="97"/>
      <c r="I68" s="97"/>
      <c r="J68" s="97"/>
      <c r="K68" s="98"/>
      <c r="L68" s="96" t="str">
        <f>IF(G68="","",VLOOKUP($AN$6,'Bases - Cadastro'!A:C,3,0))</f>
        <v>PROADI Projeto Aprimora Sus 2024/2026</v>
      </c>
      <c r="M68" s="97"/>
      <c r="N68" s="97"/>
      <c r="O68" s="97"/>
      <c r="P68" s="98"/>
      <c r="Q68" s="132"/>
      <c r="R68" s="93"/>
      <c r="S68" s="93"/>
      <c r="T68" s="94"/>
      <c r="U68" s="95"/>
      <c r="V68" s="93"/>
      <c r="W68" s="93"/>
      <c r="X68" s="93"/>
      <c r="Y68" s="93"/>
      <c r="Z68" s="94"/>
      <c r="AA68" s="95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4"/>
      <c r="AO68" s="104"/>
      <c r="AP68" s="93"/>
      <c r="AQ68" s="94"/>
      <c r="AR68" s="96" t="str">
        <f t="shared" si="0"/>
        <v/>
      </c>
      <c r="AS68" s="97"/>
      <c r="AT68" s="98"/>
      <c r="AU68" s="92"/>
      <c r="AV68" s="93"/>
      <c r="AW68" s="93"/>
      <c r="AX68" s="93"/>
      <c r="AY68" s="93"/>
      <c r="AZ68" s="93"/>
      <c r="BA68" s="94"/>
    </row>
    <row r="69" spans="2:57" ht="14.1" customHeight="1" x14ac:dyDescent="0.25">
      <c r="B69" s="114"/>
      <c r="C69" s="93"/>
      <c r="D69" s="93"/>
      <c r="E69" s="93"/>
      <c r="F69" s="94"/>
      <c r="G69" s="96">
        <f>IFERROR(VLOOKUP($AN$6,'Bases - Cadastro'!$A$4:$C$35,2,0),"")</f>
        <v>210863</v>
      </c>
      <c r="H69" s="97"/>
      <c r="I69" s="97"/>
      <c r="J69" s="97"/>
      <c r="K69" s="98"/>
      <c r="L69" s="96" t="str">
        <f>IF(G69="","",VLOOKUP($AN$6,'Bases - Cadastro'!A:C,3,0))</f>
        <v>PROADI Projeto Aprimora Sus 2024/2026</v>
      </c>
      <c r="M69" s="97"/>
      <c r="N69" s="97"/>
      <c r="O69" s="97"/>
      <c r="P69" s="98"/>
      <c r="Q69" s="132"/>
      <c r="R69" s="93"/>
      <c r="S69" s="93"/>
      <c r="T69" s="94"/>
      <c r="U69" s="95"/>
      <c r="V69" s="93"/>
      <c r="W69" s="93"/>
      <c r="X69" s="93"/>
      <c r="Y69" s="93"/>
      <c r="Z69" s="94"/>
      <c r="AA69" s="95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4"/>
      <c r="AO69" s="104"/>
      <c r="AP69" s="93"/>
      <c r="AQ69" s="94"/>
      <c r="AR69" s="96" t="str">
        <f t="shared" si="0"/>
        <v/>
      </c>
      <c r="AS69" s="97"/>
      <c r="AT69" s="98"/>
      <c r="AU69" s="92"/>
      <c r="AV69" s="93"/>
      <c r="AW69" s="93"/>
      <c r="AX69" s="93"/>
      <c r="AY69" s="93"/>
      <c r="AZ69" s="93"/>
      <c r="BA69" s="94"/>
    </row>
    <row r="70" spans="2:57" ht="14.1" customHeight="1" x14ac:dyDescent="0.25">
      <c r="B70" s="114"/>
      <c r="C70" s="93"/>
      <c r="D70" s="93"/>
      <c r="E70" s="93"/>
      <c r="F70" s="94"/>
      <c r="G70" s="96">
        <f>IFERROR(VLOOKUP($AN$6,'Bases - Cadastro'!$A$4:$C$35,2,0),"")</f>
        <v>210863</v>
      </c>
      <c r="H70" s="97"/>
      <c r="I70" s="97"/>
      <c r="J70" s="97"/>
      <c r="K70" s="98"/>
      <c r="L70" s="96" t="str">
        <f>IF(G70="","",VLOOKUP($AN$6,'Bases - Cadastro'!A:C,3,0))</f>
        <v>PROADI Projeto Aprimora Sus 2024/2026</v>
      </c>
      <c r="M70" s="97"/>
      <c r="N70" s="97"/>
      <c r="O70" s="97"/>
      <c r="P70" s="98"/>
      <c r="Q70" s="132"/>
      <c r="R70" s="93"/>
      <c r="S70" s="93"/>
      <c r="T70" s="94"/>
      <c r="U70" s="95"/>
      <c r="V70" s="93"/>
      <c r="W70" s="93"/>
      <c r="X70" s="93"/>
      <c r="Y70" s="93"/>
      <c r="Z70" s="94"/>
      <c r="AA70" s="139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4"/>
      <c r="AO70" s="104"/>
      <c r="AP70" s="93"/>
      <c r="AQ70" s="94"/>
      <c r="AR70" s="96" t="str">
        <f t="shared" si="0"/>
        <v/>
      </c>
      <c r="AS70" s="97"/>
      <c r="AT70" s="98"/>
      <c r="AU70" s="92"/>
      <c r="AV70" s="93"/>
      <c r="AW70" s="93"/>
      <c r="AX70" s="93"/>
      <c r="AY70" s="93"/>
      <c r="AZ70" s="93"/>
      <c r="BA70" s="94"/>
    </row>
    <row r="71" spans="2:57" ht="14.1" customHeight="1" x14ac:dyDescent="0.25">
      <c r="B71" s="114"/>
      <c r="C71" s="93"/>
      <c r="D71" s="93"/>
      <c r="E71" s="93"/>
      <c r="F71" s="94"/>
      <c r="G71" s="96">
        <f>IFERROR(VLOOKUP($AN$6,'Bases - Cadastro'!$A$4:$C$35,2,0),"")</f>
        <v>210863</v>
      </c>
      <c r="H71" s="97"/>
      <c r="I71" s="97"/>
      <c r="J71" s="97"/>
      <c r="K71" s="98"/>
      <c r="L71" s="96" t="str">
        <f>IF(G71="","",VLOOKUP($AN$6,'Bases - Cadastro'!A:C,3,0))</f>
        <v>PROADI Projeto Aprimora Sus 2024/2026</v>
      </c>
      <c r="M71" s="97"/>
      <c r="N71" s="97"/>
      <c r="O71" s="97"/>
      <c r="P71" s="98"/>
      <c r="Q71" s="132"/>
      <c r="R71" s="93"/>
      <c r="S71" s="93"/>
      <c r="T71" s="94"/>
      <c r="U71" s="95"/>
      <c r="V71" s="93"/>
      <c r="W71" s="93"/>
      <c r="X71" s="93"/>
      <c r="Y71" s="93"/>
      <c r="Z71" s="94"/>
      <c r="AA71" s="95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4"/>
      <c r="AO71" s="104"/>
      <c r="AP71" s="93"/>
      <c r="AQ71" s="94"/>
      <c r="AR71" s="96" t="str">
        <f t="shared" si="0"/>
        <v/>
      </c>
      <c r="AS71" s="97"/>
      <c r="AT71" s="98"/>
      <c r="AU71" s="92"/>
      <c r="AV71" s="93"/>
      <c r="AW71" s="93"/>
      <c r="AX71" s="93"/>
      <c r="AY71" s="93"/>
      <c r="AZ71" s="93"/>
      <c r="BA71" s="94"/>
    </row>
    <row r="72" spans="2:57" ht="14.1" customHeight="1" x14ac:dyDescent="0.25">
      <c r="B72" s="114"/>
      <c r="C72" s="93"/>
      <c r="D72" s="93"/>
      <c r="E72" s="93"/>
      <c r="F72" s="94"/>
      <c r="G72" s="96">
        <f>IFERROR(VLOOKUP($AN$6,'Bases - Cadastro'!$A$4:$C$35,2,0),"")</f>
        <v>210863</v>
      </c>
      <c r="H72" s="97"/>
      <c r="I72" s="97"/>
      <c r="J72" s="97"/>
      <c r="K72" s="98"/>
      <c r="L72" s="96" t="str">
        <f>IF(G72="","",VLOOKUP($AN$6,'Bases - Cadastro'!A:C,3,0))</f>
        <v>PROADI Projeto Aprimora Sus 2024/2026</v>
      </c>
      <c r="M72" s="97"/>
      <c r="N72" s="97"/>
      <c r="O72" s="97"/>
      <c r="P72" s="98"/>
      <c r="Q72" s="132"/>
      <c r="R72" s="93"/>
      <c r="S72" s="93"/>
      <c r="T72" s="94"/>
      <c r="U72" s="95"/>
      <c r="V72" s="93"/>
      <c r="W72" s="93"/>
      <c r="X72" s="93"/>
      <c r="Y72" s="93"/>
      <c r="Z72" s="94"/>
      <c r="AA72" s="95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4"/>
      <c r="AO72" s="104"/>
      <c r="AP72" s="93"/>
      <c r="AQ72" s="94"/>
      <c r="AR72" s="96" t="str">
        <f t="shared" si="0"/>
        <v/>
      </c>
      <c r="AS72" s="97"/>
      <c r="AT72" s="98"/>
      <c r="AU72" s="92"/>
      <c r="AV72" s="93"/>
      <c r="AW72" s="93"/>
      <c r="AX72" s="93"/>
      <c r="AY72" s="93"/>
      <c r="AZ72" s="93"/>
      <c r="BA72" s="94"/>
    </row>
    <row r="73" spans="2:57" ht="14.1" customHeight="1" x14ac:dyDescent="0.25">
      <c r="B73" s="114"/>
      <c r="C73" s="93"/>
      <c r="D73" s="93"/>
      <c r="E73" s="93"/>
      <c r="F73" s="94"/>
      <c r="G73" s="96">
        <f>IFERROR(VLOOKUP($AN$6,'Bases - Cadastro'!$A$4:$C$35,2,0),"")</f>
        <v>210863</v>
      </c>
      <c r="H73" s="97"/>
      <c r="I73" s="97"/>
      <c r="J73" s="97"/>
      <c r="K73" s="98"/>
      <c r="L73" s="96" t="str">
        <f>IF(G73="","",VLOOKUP($AN$6,'Bases - Cadastro'!A:C,3,0))</f>
        <v>PROADI Projeto Aprimora Sus 2024/2026</v>
      </c>
      <c r="M73" s="97"/>
      <c r="N73" s="97"/>
      <c r="O73" s="97"/>
      <c r="P73" s="98"/>
      <c r="Q73" s="132"/>
      <c r="R73" s="93"/>
      <c r="S73" s="93"/>
      <c r="T73" s="94"/>
      <c r="U73" s="95"/>
      <c r="V73" s="93"/>
      <c r="W73" s="93"/>
      <c r="X73" s="93"/>
      <c r="Y73" s="93"/>
      <c r="Z73" s="94"/>
      <c r="AA73" s="95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4"/>
      <c r="AO73" s="104"/>
      <c r="AP73" s="93"/>
      <c r="AQ73" s="94"/>
      <c r="AR73" s="96" t="str">
        <f t="shared" si="0"/>
        <v/>
      </c>
      <c r="AS73" s="97"/>
      <c r="AT73" s="98"/>
      <c r="AU73" s="92"/>
      <c r="AV73" s="93"/>
      <c r="AW73" s="93"/>
      <c r="AX73" s="93"/>
      <c r="AY73" s="93"/>
      <c r="AZ73" s="93"/>
      <c r="BA73" s="94"/>
    </row>
    <row r="74" spans="2:57" ht="14.1" customHeight="1" x14ac:dyDescent="0.25">
      <c r="B74" s="114"/>
      <c r="C74" s="93"/>
      <c r="D74" s="93"/>
      <c r="E74" s="93"/>
      <c r="F74" s="94"/>
      <c r="G74" s="96">
        <f>IFERROR(VLOOKUP($AN$6,'Bases - Cadastro'!$A$4:$C$35,2,0),"")</f>
        <v>210863</v>
      </c>
      <c r="H74" s="97"/>
      <c r="I74" s="97"/>
      <c r="J74" s="97"/>
      <c r="K74" s="98"/>
      <c r="L74" s="96" t="str">
        <f>IF(G74="","",VLOOKUP($AN$6,'Bases - Cadastro'!A:C,3,0))</f>
        <v>PROADI Projeto Aprimora Sus 2024/2026</v>
      </c>
      <c r="M74" s="97"/>
      <c r="N74" s="97"/>
      <c r="O74" s="97"/>
      <c r="P74" s="98"/>
      <c r="Q74" s="132"/>
      <c r="R74" s="93"/>
      <c r="S74" s="93"/>
      <c r="T74" s="94"/>
      <c r="U74" s="95"/>
      <c r="V74" s="93"/>
      <c r="W74" s="93"/>
      <c r="X74" s="93"/>
      <c r="Y74" s="93"/>
      <c r="Z74" s="94"/>
      <c r="AA74" s="139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4"/>
      <c r="AO74" s="104"/>
      <c r="AP74" s="93"/>
      <c r="AQ74" s="94"/>
      <c r="AR74" s="96" t="str">
        <f t="shared" si="0"/>
        <v/>
      </c>
      <c r="AS74" s="97"/>
      <c r="AT74" s="98"/>
      <c r="AU74" s="92"/>
      <c r="AV74" s="93"/>
      <c r="AW74" s="93"/>
      <c r="AX74" s="93"/>
      <c r="AY74" s="93"/>
      <c r="AZ74" s="93"/>
      <c r="BA74" s="94"/>
    </row>
    <row r="75" spans="2:57" ht="14.1" customHeight="1" x14ac:dyDescent="0.25">
      <c r="B75" s="114"/>
      <c r="C75" s="93"/>
      <c r="D75" s="93"/>
      <c r="E75" s="93"/>
      <c r="F75" s="94"/>
      <c r="G75" s="96">
        <f>IFERROR(VLOOKUP($AN$6,'Bases - Cadastro'!$A$4:$C$35,2,0),"")</f>
        <v>210863</v>
      </c>
      <c r="H75" s="97"/>
      <c r="I75" s="97"/>
      <c r="J75" s="97"/>
      <c r="K75" s="98"/>
      <c r="L75" s="96" t="str">
        <f>IF(G75="","",VLOOKUP($AN$6,'Bases - Cadastro'!A:C,3,0))</f>
        <v>PROADI Projeto Aprimora Sus 2024/2026</v>
      </c>
      <c r="M75" s="97"/>
      <c r="N75" s="97"/>
      <c r="O75" s="97"/>
      <c r="P75" s="98"/>
      <c r="Q75" s="132"/>
      <c r="R75" s="93"/>
      <c r="S75" s="93"/>
      <c r="T75" s="94"/>
      <c r="U75" s="95"/>
      <c r="V75" s="93"/>
      <c r="W75" s="93"/>
      <c r="X75" s="93"/>
      <c r="Y75" s="93"/>
      <c r="Z75" s="94"/>
      <c r="AA75" s="95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4"/>
      <c r="AO75" s="104"/>
      <c r="AP75" s="93"/>
      <c r="AQ75" s="94"/>
      <c r="AR75" s="96" t="str">
        <f t="shared" si="0"/>
        <v/>
      </c>
      <c r="AS75" s="97"/>
      <c r="AT75" s="98"/>
      <c r="AU75" s="92"/>
      <c r="AV75" s="93"/>
      <c r="AW75" s="93"/>
      <c r="AX75" s="93"/>
      <c r="AY75" s="93"/>
      <c r="AZ75" s="93"/>
      <c r="BA75" s="94"/>
    </row>
    <row r="76" spans="2:57" ht="13.95" customHeight="1" x14ac:dyDescent="0.25">
      <c r="B76" s="114"/>
      <c r="C76" s="93"/>
      <c r="D76" s="93"/>
      <c r="E76" s="93"/>
      <c r="F76" s="94"/>
      <c r="G76" s="96">
        <f>IFERROR(VLOOKUP($AN$6,'Bases - Cadastro'!$A$4:$C$35,2,0),"")</f>
        <v>210863</v>
      </c>
      <c r="H76" s="97"/>
      <c r="I76" s="97"/>
      <c r="J76" s="97"/>
      <c r="K76" s="98"/>
      <c r="L76" s="96" t="str">
        <f>IF(G76="","",VLOOKUP($AN$6,'Bases - Cadastro'!A:C,3,0))</f>
        <v>PROADI Projeto Aprimora Sus 2024/2026</v>
      </c>
      <c r="M76" s="97"/>
      <c r="N76" s="97"/>
      <c r="O76" s="97"/>
      <c r="P76" s="98"/>
      <c r="Q76" s="132"/>
      <c r="R76" s="93"/>
      <c r="S76" s="93"/>
      <c r="T76" s="94"/>
      <c r="U76" s="95"/>
      <c r="V76" s="93"/>
      <c r="W76" s="93"/>
      <c r="X76" s="93"/>
      <c r="Y76" s="93"/>
      <c r="Z76" s="94"/>
      <c r="AA76" s="95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4"/>
      <c r="AO76" s="104"/>
      <c r="AP76" s="93"/>
      <c r="AQ76" s="94"/>
      <c r="AR76" s="96" t="str">
        <f t="shared" si="0"/>
        <v/>
      </c>
      <c r="AS76" s="97"/>
      <c r="AT76" s="98"/>
      <c r="AU76" s="92"/>
      <c r="AV76" s="93"/>
      <c r="AW76" s="93"/>
      <c r="AX76" s="93"/>
      <c r="AY76" s="93"/>
      <c r="AZ76" s="93"/>
      <c r="BA76" s="94"/>
    </row>
    <row r="77" spans="2:57" ht="13.95" customHeight="1" x14ac:dyDescent="0.25">
      <c r="B77" s="114"/>
      <c r="C77" s="93"/>
      <c r="D77" s="93"/>
      <c r="E77" s="93"/>
      <c r="F77" s="94"/>
      <c r="G77" s="96">
        <f>IFERROR(VLOOKUP($AN$6,'Bases - Cadastro'!$A$4:$C$35,2,0),"")</f>
        <v>210863</v>
      </c>
      <c r="H77" s="97"/>
      <c r="I77" s="97"/>
      <c r="J77" s="97"/>
      <c r="K77" s="98"/>
      <c r="L77" s="96" t="str">
        <f>IF(G77="","",VLOOKUP($AN$6,'Bases - Cadastro'!A:C,3,0))</f>
        <v>PROADI Projeto Aprimora Sus 2024/2026</v>
      </c>
      <c r="M77" s="97"/>
      <c r="N77" s="97"/>
      <c r="O77" s="97"/>
      <c r="P77" s="98"/>
      <c r="Q77" s="132"/>
      <c r="R77" s="93"/>
      <c r="S77" s="93"/>
      <c r="T77" s="94"/>
      <c r="U77" s="95"/>
      <c r="V77" s="93"/>
      <c r="W77" s="93"/>
      <c r="X77" s="93"/>
      <c r="Y77" s="93"/>
      <c r="Z77" s="94"/>
      <c r="AA77" s="95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4"/>
      <c r="AO77" s="104"/>
      <c r="AP77" s="93"/>
      <c r="AQ77" s="94"/>
      <c r="AR77" s="96" t="str">
        <f t="shared" si="0"/>
        <v/>
      </c>
      <c r="AS77" s="97"/>
      <c r="AT77" s="98"/>
      <c r="AU77" s="92"/>
      <c r="AV77" s="93"/>
      <c r="AW77" s="93"/>
      <c r="AX77" s="93"/>
      <c r="AY77" s="93"/>
      <c r="AZ77" s="93"/>
      <c r="BA77" s="94"/>
    </row>
    <row r="78" spans="2:57" ht="13.95" customHeight="1" x14ac:dyDescent="0.25">
      <c r="B78" s="114"/>
      <c r="C78" s="93"/>
      <c r="D78" s="93"/>
      <c r="E78" s="93"/>
      <c r="F78" s="94"/>
      <c r="G78" s="96">
        <f>IFERROR(VLOOKUP($AN$6,'Bases - Cadastro'!$A$4:$C$35,2,0),"")</f>
        <v>210863</v>
      </c>
      <c r="H78" s="97"/>
      <c r="I78" s="97"/>
      <c r="J78" s="97"/>
      <c r="K78" s="98"/>
      <c r="L78" s="96" t="str">
        <f>IF(G78="","",VLOOKUP($AN$6,'Bases - Cadastro'!A:C,3,0))</f>
        <v>PROADI Projeto Aprimora Sus 2024/2026</v>
      </c>
      <c r="M78" s="97"/>
      <c r="N78" s="97"/>
      <c r="O78" s="97"/>
      <c r="P78" s="98"/>
      <c r="Q78" s="132"/>
      <c r="R78" s="93"/>
      <c r="S78" s="93"/>
      <c r="T78" s="94"/>
      <c r="U78" s="95"/>
      <c r="V78" s="93"/>
      <c r="W78" s="93"/>
      <c r="X78" s="93"/>
      <c r="Y78" s="93"/>
      <c r="Z78" s="94"/>
      <c r="AA78" s="95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4"/>
      <c r="AO78" s="104"/>
      <c r="AP78" s="93"/>
      <c r="AQ78" s="94"/>
      <c r="AR78" s="96" t="str">
        <f t="shared" si="0"/>
        <v/>
      </c>
      <c r="AS78" s="97"/>
      <c r="AT78" s="98"/>
      <c r="AU78" s="92"/>
      <c r="AV78" s="93"/>
      <c r="AW78" s="93"/>
      <c r="AX78" s="93"/>
      <c r="AY78" s="93"/>
      <c r="AZ78" s="93"/>
      <c r="BA78" s="94"/>
    </row>
    <row r="79" spans="2:57" ht="13.95" customHeight="1" x14ac:dyDescent="0.25">
      <c r="B79" s="114"/>
      <c r="C79" s="93"/>
      <c r="D79" s="93"/>
      <c r="E79" s="93"/>
      <c r="F79" s="94"/>
      <c r="G79" s="96">
        <f>IFERROR(VLOOKUP($AN$6,'Bases - Cadastro'!$A$4:$C$35,2,0),"")</f>
        <v>210863</v>
      </c>
      <c r="H79" s="97"/>
      <c r="I79" s="97"/>
      <c r="J79" s="97"/>
      <c r="K79" s="98"/>
      <c r="L79" s="96" t="str">
        <f>IF(G79="","",VLOOKUP($AN$6,'Bases - Cadastro'!A:C,3,0))</f>
        <v>PROADI Projeto Aprimora Sus 2024/2026</v>
      </c>
      <c r="M79" s="97"/>
      <c r="N79" s="97"/>
      <c r="O79" s="97"/>
      <c r="P79" s="98"/>
      <c r="Q79" s="132"/>
      <c r="R79" s="93"/>
      <c r="S79" s="93"/>
      <c r="T79" s="94"/>
      <c r="U79" s="95"/>
      <c r="V79" s="93"/>
      <c r="W79" s="93"/>
      <c r="X79" s="93"/>
      <c r="Y79" s="93"/>
      <c r="Z79" s="94"/>
      <c r="AA79" s="95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4"/>
      <c r="AO79" s="104"/>
      <c r="AP79" s="93"/>
      <c r="AQ79" s="94"/>
      <c r="AR79" s="96" t="str">
        <f t="shared" si="0"/>
        <v/>
      </c>
      <c r="AS79" s="97"/>
      <c r="AT79" s="98"/>
      <c r="AU79" s="92"/>
      <c r="AV79" s="93"/>
      <c r="AW79" s="93"/>
      <c r="AX79" s="93"/>
      <c r="AY79" s="93"/>
      <c r="AZ79" s="93"/>
      <c r="BA79" s="94"/>
    </row>
    <row r="80" spans="2:57" ht="13.5" customHeight="1" x14ac:dyDescent="0.25">
      <c r="B80" s="182" t="s">
        <v>43</v>
      </c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97"/>
      <c r="AS80" s="97"/>
      <c r="AT80" s="98"/>
      <c r="AU80" s="140">
        <f>SUM(AU30:BA79)</f>
        <v>0</v>
      </c>
      <c r="AV80" s="97"/>
      <c r="AW80" s="97"/>
      <c r="AX80" s="97"/>
      <c r="AY80" s="97"/>
      <c r="AZ80" s="97"/>
      <c r="BA80" s="98"/>
      <c r="BE80" s="71"/>
    </row>
    <row r="81" spans="2:55" ht="11.25" customHeight="1" x14ac:dyDescent="0.25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AE81" s="16"/>
      <c r="AF81" s="36"/>
      <c r="AG81" s="3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37"/>
      <c r="AU81" s="37"/>
      <c r="AV81" s="37"/>
      <c r="AW81" s="37"/>
      <c r="AX81" s="37"/>
      <c r="AY81" s="37"/>
      <c r="AZ81" s="37"/>
      <c r="BA81" s="37"/>
    </row>
    <row r="82" spans="2:55" ht="14.25" customHeight="1" x14ac:dyDescent="0.25">
      <c r="B82" s="16"/>
      <c r="C82" s="89" t="s">
        <v>44</v>
      </c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21"/>
      <c r="T82" s="21"/>
      <c r="U82" s="89" t="s">
        <v>45</v>
      </c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1"/>
      <c r="AH82" s="38"/>
      <c r="AI82" s="180" t="s">
        <v>46</v>
      </c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7"/>
      <c r="AU82" s="97"/>
      <c r="AV82" s="97"/>
      <c r="AW82" s="97"/>
      <c r="AX82" s="97"/>
      <c r="AY82" s="97"/>
      <c r="AZ82" s="97"/>
      <c r="BA82" s="98"/>
    </row>
    <row r="83" spans="2:55" ht="14.25" customHeight="1" x14ac:dyDescent="0.25">
      <c r="B83" s="16"/>
      <c r="C83" s="89" t="s">
        <v>32</v>
      </c>
      <c r="D83" s="90"/>
      <c r="E83" s="90"/>
      <c r="F83" s="90"/>
      <c r="G83" s="91"/>
      <c r="H83" s="89" t="s">
        <v>47</v>
      </c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21"/>
      <c r="T83" s="21"/>
      <c r="U83" s="89" t="s">
        <v>32</v>
      </c>
      <c r="V83" s="91"/>
      <c r="W83" s="89" t="s">
        <v>47</v>
      </c>
      <c r="X83" s="90"/>
      <c r="Y83" s="90"/>
      <c r="Z83" s="90"/>
      <c r="AA83" s="90"/>
      <c r="AB83" s="90"/>
      <c r="AC83" s="90"/>
      <c r="AD83" s="90"/>
      <c r="AE83" s="90"/>
      <c r="AF83" s="90"/>
      <c r="AG83" s="91"/>
      <c r="AH83" s="38"/>
      <c r="AI83" s="164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  <c r="AT83" s="130"/>
      <c r="AU83" s="130"/>
      <c r="AV83" s="130"/>
      <c r="AW83" s="130"/>
      <c r="AX83" s="130"/>
      <c r="AY83" s="130"/>
      <c r="AZ83" s="130"/>
      <c r="BA83" s="161"/>
    </row>
    <row r="84" spans="2:55" ht="45" customHeight="1" x14ac:dyDescent="0.25">
      <c r="B84" s="16"/>
      <c r="C84" s="116"/>
      <c r="D84" s="117"/>
      <c r="E84" s="117"/>
      <c r="F84" s="117"/>
      <c r="G84" s="118"/>
      <c r="H84" s="148"/>
      <c r="I84" s="117"/>
      <c r="J84" s="117"/>
      <c r="K84" s="117"/>
      <c r="L84" s="117"/>
      <c r="M84" s="117"/>
      <c r="N84" s="117"/>
      <c r="O84" s="117"/>
      <c r="P84" s="117"/>
      <c r="Q84" s="117"/>
      <c r="R84" s="118"/>
      <c r="S84" s="16"/>
      <c r="T84" s="16"/>
      <c r="U84" s="122"/>
      <c r="V84" s="118"/>
      <c r="W84" s="123"/>
      <c r="X84" s="117"/>
      <c r="Y84" s="117"/>
      <c r="Z84" s="117"/>
      <c r="AA84" s="117"/>
      <c r="AB84" s="117"/>
      <c r="AC84" s="117"/>
      <c r="AD84" s="117"/>
      <c r="AE84" s="117"/>
      <c r="AF84" s="117"/>
      <c r="AG84" s="118"/>
      <c r="AH84" s="38"/>
      <c r="AI84" s="165"/>
      <c r="AJ84" s="103"/>
      <c r="AK84" s="103"/>
      <c r="AL84" s="103"/>
      <c r="AM84" s="103"/>
      <c r="AN84" s="103"/>
      <c r="AO84" s="103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66"/>
    </row>
    <row r="85" spans="2:55" ht="16.5" customHeight="1" x14ac:dyDescent="0.25">
      <c r="B85" s="16"/>
      <c r="C85" s="16"/>
      <c r="D85" s="1"/>
      <c r="E85" s="1"/>
      <c r="F85" s="1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5"/>
      <c r="AJ85" s="103"/>
      <c r="AK85" s="103"/>
      <c r="AL85" s="103"/>
      <c r="AM85" s="103"/>
      <c r="AN85" s="103"/>
      <c r="AO85" s="103"/>
      <c r="AP85" s="103"/>
      <c r="AQ85" s="103"/>
      <c r="AR85" s="103"/>
      <c r="AS85" s="103"/>
      <c r="AT85" s="103"/>
      <c r="AU85" s="103"/>
      <c r="AV85" s="103"/>
      <c r="AW85" s="103"/>
      <c r="AX85" s="103"/>
      <c r="AY85" s="103"/>
      <c r="AZ85" s="103"/>
      <c r="BA85" s="166"/>
    </row>
    <row r="86" spans="2:55" ht="15" customHeight="1" x14ac:dyDescent="0.25">
      <c r="B86" s="39"/>
      <c r="C86" s="40"/>
      <c r="D86" s="119" t="s">
        <v>48</v>
      </c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8"/>
      <c r="P86" s="119" t="s">
        <v>49</v>
      </c>
      <c r="Q86" s="97"/>
      <c r="R86" s="97"/>
      <c r="S86" s="97"/>
      <c r="T86" s="97"/>
      <c r="U86" s="98"/>
      <c r="V86" s="145" t="s">
        <v>50</v>
      </c>
      <c r="W86" s="93"/>
      <c r="X86" s="93"/>
      <c r="Y86" s="93"/>
      <c r="Z86" s="94"/>
      <c r="AA86" s="159">
        <f ca="1">SUM(AA89:AE95)</f>
        <v>0</v>
      </c>
      <c r="AB86" s="97"/>
      <c r="AC86" s="97"/>
      <c r="AD86" s="97"/>
      <c r="AE86" s="98"/>
      <c r="AI86" s="167"/>
      <c r="AJ86" s="144"/>
      <c r="AK86" s="144"/>
      <c r="AL86" s="144"/>
      <c r="AM86" s="144"/>
      <c r="AN86" s="144"/>
      <c r="AO86" s="144"/>
      <c r="AP86" s="144"/>
      <c r="AQ86" s="144"/>
      <c r="AR86" s="144"/>
      <c r="AS86" s="144"/>
      <c r="AT86" s="144"/>
      <c r="AU86" s="144"/>
      <c r="AV86" s="144"/>
      <c r="AW86" s="144"/>
      <c r="AX86" s="144"/>
      <c r="AY86" s="144"/>
      <c r="AZ86" s="144"/>
      <c r="BA86" s="168"/>
    </row>
    <row r="87" spans="2:55" ht="12" customHeight="1" x14ac:dyDescent="0.25">
      <c r="B87" s="136">
        <v>1</v>
      </c>
      <c r="C87" s="126"/>
      <c r="D87" s="124" t="str">
        <f>'Bases - Cadastro'!F38</f>
        <v>Reembolso de Material de Uso e Consumo PROADI SUS</v>
      </c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6"/>
      <c r="P87" s="146" t="s">
        <v>51</v>
      </c>
      <c r="Q87" s="134"/>
      <c r="R87" s="134"/>
      <c r="S87" s="134"/>
      <c r="T87" s="134"/>
      <c r="U87" s="135"/>
      <c r="V87" s="99" t="str">
        <f>'Bases - Cadastro'!E38</f>
        <v>263020</v>
      </c>
      <c r="W87" s="100"/>
      <c r="X87" s="100"/>
      <c r="Y87" s="100"/>
      <c r="Z87" s="101"/>
      <c r="AA87" s="133">
        <f t="shared" ref="AA87:AA95" ca="1" si="1">SUMIF($AR$29:$AT$79,P87,$AU$30:$BA$79)</f>
        <v>0</v>
      </c>
      <c r="AB87" s="134"/>
      <c r="AC87" s="134"/>
      <c r="AD87" s="134"/>
      <c r="AE87" s="135"/>
      <c r="AF87" s="84"/>
      <c r="AG87" s="84"/>
      <c r="AH87" s="84"/>
      <c r="AI87" s="85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C87" s="15"/>
    </row>
    <row r="88" spans="2:55" ht="12" customHeight="1" x14ac:dyDescent="0.25">
      <c r="B88" s="128">
        <v>2</v>
      </c>
      <c r="C88" s="101"/>
      <c r="D88" s="137" t="str">
        <f>'Bases - Cadastro'!F39</f>
        <v>Reembolso de Refeições e Lanches PROADI SUS</v>
      </c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1"/>
      <c r="P88" s="107" t="s">
        <v>52</v>
      </c>
      <c r="Q88" s="100"/>
      <c r="R88" s="100"/>
      <c r="S88" s="100"/>
      <c r="T88" s="100"/>
      <c r="U88" s="101"/>
      <c r="V88" s="99" t="str">
        <f>'Bases - Cadastro'!E39</f>
        <v>263018</v>
      </c>
      <c r="W88" s="100"/>
      <c r="X88" s="100"/>
      <c r="Y88" s="100"/>
      <c r="Z88" s="101"/>
      <c r="AA88" s="131">
        <f t="shared" ca="1" si="1"/>
        <v>0</v>
      </c>
      <c r="AB88" s="100"/>
      <c r="AC88" s="100"/>
      <c r="AD88" s="100"/>
      <c r="AE88" s="101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</row>
    <row r="89" spans="2:55" ht="12" customHeight="1" x14ac:dyDescent="0.25">
      <c r="B89" s="128">
        <v>3</v>
      </c>
      <c r="C89" s="101"/>
      <c r="D89" s="137" t="str">
        <f>'Bases - Cadastro'!F40</f>
        <v>Reembolso de Condução e Transporte PROADI SUS</v>
      </c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1"/>
      <c r="P89" s="107" t="s">
        <v>53</v>
      </c>
      <c r="Q89" s="100"/>
      <c r="R89" s="100"/>
      <c r="S89" s="100"/>
      <c r="T89" s="100"/>
      <c r="U89" s="101"/>
      <c r="V89" s="99" t="str">
        <f>'Bases - Cadastro'!E40</f>
        <v>263962</v>
      </c>
      <c r="W89" s="100"/>
      <c r="X89" s="100"/>
      <c r="Y89" s="100"/>
      <c r="Z89" s="101"/>
      <c r="AA89" s="131">
        <f t="shared" ca="1" si="1"/>
        <v>0</v>
      </c>
      <c r="AB89" s="100"/>
      <c r="AC89" s="100"/>
      <c r="AD89" s="100"/>
      <c r="AE89" s="101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</row>
    <row r="90" spans="2:55" ht="12" customHeight="1" x14ac:dyDescent="0.25">
      <c r="B90" s="128">
        <v>4</v>
      </c>
      <c r="C90" s="101"/>
      <c r="D90" s="137" t="str">
        <f>'Bases - Cadastro'!F41</f>
        <v>Reembolso de Passagem Aérea PROADI SUS</v>
      </c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1"/>
      <c r="P90" s="107" t="s">
        <v>54</v>
      </c>
      <c r="Q90" s="100"/>
      <c r="R90" s="100"/>
      <c r="S90" s="100"/>
      <c r="T90" s="100"/>
      <c r="U90" s="101"/>
      <c r="V90" s="99" t="str">
        <f>'Bases - Cadastro'!E41</f>
        <v>263021</v>
      </c>
      <c r="W90" s="100"/>
      <c r="X90" s="100"/>
      <c r="Y90" s="100"/>
      <c r="Z90" s="101"/>
      <c r="AA90" s="131">
        <f t="shared" ca="1" si="1"/>
        <v>0</v>
      </c>
      <c r="AB90" s="100"/>
      <c r="AC90" s="100"/>
      <c r="AD90" s="100"/>
      <c r="AE90" s="101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</row>
    <row r="91" spans="2:55" ht="12" customHeight="1" x14ac:dyDescent="0.25">
      <c r="B91" s="128">
        <v>5</v>
      </c>
      <c r="C91" s="101"/>
      <c r="D91" s="137" t="str">
        <f>'Bases - Cadastro'!F42</f>
        <v>Reembolso de Hospedagem PROADI SUS</v>
      </c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1"/>
      <c r="P91" s="107" t="s">
        <v>55</v>
      </c>
      <c r="Q91" s="100"/>
      <c r="R91" s="100"/>
      <c r="S91" s="100"/>
      <c r="T91" s="100"/>
      <c r="U91" s="101"/>
      <c r="V91" s="99" t="str">
        <f>'Bases - Cadastro'!E42</f>
        <v>263022</v>
      </c>
      <c r="W91" s="100"/>
      <c r="X91" s="100"/>
      <c r="Y91" s="100"/>
      <c r="Z91" s="101"/>
      <c r="AA91" s="131">
        <f t="shared" ca="1" si="1"/>
        <v>0</v>
      </c>
      <c r="AB91" s="100"/>
      <c r="AC91" s="100"/>
      <c r="AD91" s="100"/>
      <c r="AE91" s="101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</row>
    <row r="92" spans="2:55" ht="12" customHeight="1" x14ac:dyDescent="0.25">
      <c r="B92" s="128">
        <v>6</v>
      </c>
      <c r="C92" s="101"/>
      <c r="D92" s="137" t="str">
        <f>'Bases - Cadastro'!F43</f>
        <v>Reembolso de Inscrições de Eventos PROADI SUS</v>
      </c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1"/>
      <c r="P92" s="107" t="s">
        <v>56</v>
      </c>
      <c r="Q92" s="100"/>
      <c r="R92" s="100"/>
      <c r="S92" s="100"/>
      <c r="T92" s="100"/>
      <c r="U92" s="101"/>
      <c r="V92" s="99" t="str">
        <f>'Bases - Cadastro'!E43</f>
        <v>263023</v>
      </c>
      <c r="W92" s="100"/>
      <c r="X92" s="100"/>
      <c r="Y92" s="100"/>
      <c r="Z92" s="101"/>
      <c r="AA92" s="131">
        <f t="shared" ca="1" si="1"/>
        <v>0</v>
      </c>
      <c r="AB92" s="100"/>
      <c r="AC92" s="100"/>
      <c r="AD92" s="100"/>
      <c r="AE92" s="101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</row>
    <row r="93" spans="2:55" ht="12" customHeight="1" x14ac:dyDescent="0.25">
      <c r="B93" s="128">
        <v>7</v>
      </c>
      <c r="C93" s="101"/>
      <c r="D93" s="137" t="str">
        <f>'Bases - Cadastro'!F44</f>
        <v>Reembolso de Cartório PROADI SUS</v>
      </c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1"/>
      <c r="P93" s="107" t="s">
        <v>57</v>
      </c>
      <c r="Q93" s="100"/>
      <c r="R93" s="100"/>
      <c r="S93" s="100"/>
      <c r="T93" s="100"/>
      <c r="U93" s="101"/>
      <c r="V93" s="99" t="str">
        <f>'Bases - Cadastro'!E44</f>
        <v>263017</v>
      </c>
      <c r="W93" s="100"/>
      <c r="X93" s="100"/>
      <c r="Y93" s="100"/>
      <c r="Z93" s="101"/>
      <c r="AA93" s="131">
        <f t="shared" ca="1" si="1"/>
        <v>0</v>
      </c>
      <c r="AB93" s="100"/>
      <c r="AC93" s="100"/>
      <c r="AD93" s="100"/>
      <c r="AE93" s="101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</row>
    <row r="94" spans="2:55" ht="12" customHeight="1" x14ac:dyDescent="0.25">
      <c r="B94" s="128">
        <v>8</v>
      </c>
      <c r="C94" s="101"/>
      <c r="D94" s="137" t="str">
        <f>'Bases - Cadastro'!F45</f>
        <v>Reembolso de Correios PROADI SUS</v>
      </c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1"/>
      <c r="P94" s="107" t="s">
        <v>58</v>
      </c>
      <c r="Q94" s="100"/>
      <c r="R94" s="100"/>
      <c r="S94" s="100"/>
      <c r="T94" s="100"/>
      <c r="U94" s="101"/>
      <c r="V94" s="99" t="str">
        <f>'Bases - Cadastro'!E45</f>
        <v>263016</v>
      </c>
      <c r="W94" s="100"/>
      <c r="X94" s="100"/>
      <c r="Y94" s="100"/>
      <c r="Z94" s="101"/>
      <c r="AA94" s="131">
        <f t="shared" ca="1" si="1"/>
        <v>0</v>
      </c>
      <c r="AB94" s="100"/>
      <c r="AC94" s="100"/>
      <c r="AD94" s="100"/>
      <c r="AE94" s="101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</row>
    <row r="95" spans="2:55" ht="12" customHeight="1" x14ac:dyDescent="0.25">
      <c r="B95" s="162">
        <v>9</v>
      </c>
      <c r="C95" s="151"/>
      <c r="D95" s="181" t="str">
        <f>'Bases - Cadastro'!F46</f>
        <v>Reembolso de Revelações, Cópias e Gráfica PROADI SUS</v>
      </c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1"/>
      <c r="P95" s="174" t="s">
        <v>59</v>
      </c>
      <c r="Q95" s="150"/>
      <c r="R95" s="150"/>
      <c r="S95" s="150"/>
      <c r="T95" s="150"/>
      <c r="U95" s="151"/>
      <c r="V95" s="178" t="str">
        <f>'Bases - Cadastro'!E46</f>
        <v>263019</v>
      </c>
      <c r="W95" s="150"/>
      <c r="X95" s="150"/>
      <c r="Y95" s="150"/>
      <c r="Z95" s="151"/>
      <c r="AA95" s="149">
        <f t="shared" ca="1" si="1"/>
        <v>0</v>
      </c>
      <c r="AB95" s="150"/>
      <c r="AC95" s="150"/>
      <c r="AD95" s="150"/>
      <c r="AE95" s="151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</row>
  </sheetData>
  <mergeCells count="562">
    <mergeCell ref="AA94:AE94"/>
    <mergeCell ref="G75:K75"/>
    <mergeCell ref="AG10:AM10"/>
    <mergeCell ref="B73:F73"/>
    <mergeCell ref="AU63:BA63"/>
    <mergeCell ref="U28:Z29"/>
    <mergeCell ref="B80:AT80"/>
    <mergeCell ref="AA75:AN75"/>
    <mergeCell ref="Q78:T78"/>
    <mergeCell ref="G44:K44"/>
    <mergeCell ref="AR52:AT52"/>
    <mergeCell ref="G31:K31"/>
    <mergeCell ref="AO78:AQ78"/>
    <mergeCell ref="AA79:AN79"/>
    <mergeCell ref="B66:F66"/>
    <mergeCell ref="AO73:AQ73"/>
    <mergeCell ref="U62:Z62"/>
    <mergeCell ref="B67:F67"/>
    <mergeCell ref="B61:F61"/>
    <mergeCell ref="G57:K57"/>
    <mergeCell ref="G49:K49"/>
    <mergeCell ref="U64:Z64"/>
    <mergeCell ref="L45:P45"/>
    <mergeCell ref="AU38:BA38"/>
    <mergeCell ref="Q33:T33"/>
    <mergeCell ref="U51:Z51"/>
    <mergeCell ref="D95:O95"/>
    <mergeCell ref="Q65:T65"/>
    <mergeCell ref="B47:F47"/>
    <mergeCell ref="G43:K43"/>
    <mergeCell ref="AA91:AE91"/>
    <mergeCell ref="AU37:BA37"/>
    <mergeCell ref="U41:Z41"/>
    <mergeCell ref="B59:F59"/>
    <mergeCell ref="B46:F46"/>
    <mergeCell ref="AU72:BA72"/>
    <mergeCell ref="AU47:BA47"/>
    <mergeCell ref="L37:P37"/>
    <mergeCell ref="U56:Z56"/>
    <mergeCell ref="AA93:AE93"/>
    <mergeCell ref="AR49:AT49"/>
    <mergeCell ref="U43:Z43"/>
    <mergeCell ref="AO58:AQ58"/>
    <mergeCell ref="B48:F48"/>
    <mergeCell ref="V91:Z91"/>
    <mergeCell ref="B69:F69"/>
    <mergeCell ref="L38:P38"/>
    <mergeCell ref="AA63:AN63"/>
    <mergeCell ref="AU40:BA40"/>
    <mergeCell ref="L40:P40"/>
    <mergeCell ref="AJ6:AM6"/>
    <mergeCell ref="U66:Z66"/>
    <mergeCell ref="C82:R82"/>
    <mergeCell ref="AR34:AT34"/>
    <mergeCell ref="Q75:T75"/>
    <mergeCell ref="AA34:AN34"/>
    <mergeCell ref="AU42:BA42"/>
    <mergeCell ref="AU77:BA77"/>
    <mergeCell ref="AR36:AT36"/>
    <mergeCell ref="AA36:AN36"/>
    <mergeCell ref="AI82:BA82"/>
    <mergeCell ref="AR76:AT76"/>
    <mergeCell ref="G30:K30"/>
    <mergeCell ref="Q39:T39"/>
    <mergeCell ref="AA78:AN78"/>
    <mergeCell ref="AA65:AN65"/>
    <mergeCell ref="AO70:AQ70"/>
    <mergeCell ref="AA31:AN31"/>
    <mergeCell ref="U59:Z59"/>
    <mergeCell ref="AR77:AT77"/>
    <mergeCell ref="AO32:AQ32"/>
    <mergeCell ref="U46:Z46"/>
    <mergeCell ref="G54:K54"/>
    <mergeCell ref="G41:K41"/>
    <mergeCell ref="AF18:AR18"/>
    <mergeCell ref="AO31:AQ31"/>
    <mergeCell ref="B2:BA3"/>
    <mergeCell ref="L74:P74"/>
    <mergeCell ref="D92:O92"/>
    <mergeCell ref="Q62:T62"/>
    <mergeCell ref="B44:F44"/>
    <mergeCell ref="AA88:AE88"/>
    <mergeCell ref="U55:Z55"/>
    <mergeCell ref="U38:Z38"/>
    <mergeCell ref="B4:AX4"/>
    <mergeCell ref="L76:P76"/>
    <mergeCell ref="AU44:BA44"/>
    <mergeCell ref="Q64:T64"/>
    <mergeCell ref="B37:F37"/>
    <mergeCell ref="G33:K33"/>
    <mergeCell ref="AA54:AN54"/>
    <mergeCell ref="AU31:BA31"/>
    <mergeCell ref="Q51:T51"/>
    <mergeCell ref="G79:K79"/>
    <mergeCell ref="AA41:AN41"/>
    <mergeCell ref="U40:Z40"/>
    <mergeCell ref="G73:K73"/>
    <mergeCell ref="L69:P69"/>
    <mergeCell ref="B91:C91"/>
    <mergeCell ref="AU76:BA76"/>
    <mergeCell ref="P95:U95"/>
    <mergeCell ref="AR66:AT66"/>
    <mergeCell ref="AR63:AT63"/>
    <mergeCell ref="B93:C93"/>
    <mergeCell ref="AA72:AN72"/>
    <mergeCell ref="AO29:AQ29"/>
    <mergeCell ref="AR68:AT68"/>
    <mergeCell ref="L43:P43"/>
    <mergeCell ref="B42:F42"/>
    <mergeCell ref="G38:K38"/>
    <mergeCell ref="AA30:AN30"/>
    <mergeCell ref="D94:O94"/>
    <mergeCell ref="G35:K35"/>
    <mergeCell ref="AA56:AN56"/>
    <mergeCell ref="AO57:AQ57"/>
    <mergeCell ref="V95:Z95"/>
    <mergeCell ref="B45:F45"/>
    <mergeCell ref="AO47:AQ47"/>
    <mergeCell ref="AA62:AN62"/>
    <mergeCell ref="U61:Z61"/>
    <mergeCell ref="U48:Z48"/>
    <mergeCell ref="L77:P77"/>
    <mergeCell ref="B20:G20"/>
    <mergeCell ref="AU79:BA79"/>
    <mergeCell ref="AO49:AQ49"/>
    <mergeCell ref="U63:Z63"/>
    <mergeCell ref="AO36:AQ36"/>
    <mergeCell ref="U50:Z50"/>
    <mergeCell ref="L79:P79"/>
    <mergeCell ref="U44:Z44"/>
    <mergeCell ref="AO60:AQ60"/>
    <mergeCell ref="B49:F49"/>
    <mergeCell ref="L28:P29"/>
    <mergeCell ref="AO67:AQ67"/>
    <mergeCell ref="B24:O24"/>
    <mergeCell ref="AU74:BA74"/>
    <mergeCell ref="B32:F32"/>
    <mergeCell ref="G56:K56"/>
    <mergeCell ref="AR32:AT32"/>
    <mergeCell ref="B64:F64"/>
    <mergeCell ref="AN23:BA23"/>
    <mergeCell ref="B51:F51"/>
    <mergeCell ref="AO28:AQ28"/>
    <mergeCell ref="AO54:AQ54"/>
    <mergeCell ref="L68:P68"/>
    <mergeCell ref="AU61:BA61"/>
    <mergeCell ref="Q56:T56"/>
    <mergeCell ref="AO41:AQ41"/>
    <mergeCell ref="Q43:T43"/>
    <mergeCell ref="AR55:AT55"/>
    <mergeCell ref="AA33:AN33"/>
    <mergeCell ref="AO56:AQ56"/>
    <mergeCell ref="AA57:AN57"/>
    <mergeCell ref="AO34:AQ34"/>
    <mergeCell ref="G10:M10"/>
    <mergeCell ref="Q72:T72"/>
    <mergeCell ref="AA35:AN35"/>
    <mergeCell ref="AO72:AQ72"/>
    <mergeCell ref="Q59:T59"/>
    <mergeCell ref="B36:F36"/>
    <mergeCell ref="U77:Z77"/>
    <mergeCell ref="AO65:AQ65"/>
    <mergeCell ref="Q46:T46"/>
    <mergeCell ref="Q28:T29"/>
    <mergeCell ref="G72:K72"/>
    <mergeCell ref="AP20:AR20"/>
    <mergeCell ref="AA24:AL24"/>
    <mergeCell ref="Q61:T61"/>
    <mergeCell ref="Q48:T48"/>
    <mergeCell ref="AA38:AN38"/>
    <mergeCell ref="U37:Z37"/>
    <mergeCell ref="L66:P66"/>
    <mergeCell ref="L53:P53"/>
    <mergeCell ref="U72:Z72"/>
    <mergeCell ref="Q41:T41"/>
    <mergeCell ref="AR53:AT53"/>
    <mergeCell ref="B77:F77"/>
    <mergeCell ref="AA40:AN40"/>
    <mergeCell ref="B27:BA27"/>
    <mergeCell ref="AO76:AQ76"/>
    <mergeCell ref="L52:P52"/>
    <mergeCell ref="AU45:BA45"/>
    <mergeCell ref="B95:C95"/>
    <mergeCell ref="Q40:T40"/>
    <mergeCell ref="G6:Y6"/>
    <mergeCell ref="B89:C89"/>
    <mergeCell ref="B76:F76"/>
    <mergeCell ref="AU55:BA55"/>
    <mergeCell ref="AR39:AT39"/>
    <mergeCell ref="AR70:AT70"/>
    <mergeCell ref="AO33:AQ33"/>
    <mergeCell ref="AA43:AN43"/>
    <mergeCell ref="H12:T12"/>
    <mergeCell ref="P86:U86"/>
    <mergeCell ref="AO35:AQ35"/>
    <mergeCell ref="AI83:BA86"/>
    <mergeCell ref="L78:P78"/>
    <mergeCell ref="AU71:BA71"/>
    <mergeCell ref="AA6:AH6"/>
    <mergeCell ref="AR65:AT65"/>
    <mergeCell ref="Q77:T77"/>
    <mergeCell ref="B23:O23"/>
    <mergeCell ref="V94:Z94"/>
    <mergeCell ref="U20:X20"/>
    <mergeCell ref="L47:P47"/>
    <mergeCell ref="AA86:AE86"/>
    <mergeCell ref="V87:Z87"/>
    <mergeCell ref="B8:F8"/>
    <mergeCell ref="Q37:T37"/>
    <mergeCell ref="V89:Z89"/>
    <mergeCell ref="G69:K69"/>
    <mergeCell ref="U67:Z67"/>
    <mergeCell ref="B26:BA26"/>
    <mergeCell ref="AO64:AQ64"/>
    <mergeCell ref="AO51:AQ51"/>
    <mergeCell ref="L63:P63"/>
    <mergeCell ref="AU60:BA60"/>
    <mergeCell ref="AR75:AT75"/>
    <mergeCell ref="Q55:T55"/>
    <mergeCell ref="U69:Z69"/>
    <mergeCell ref="L50:P50"/>
    <mergeCell ref="AA23:AL23"/>
    <mergeCell ref="Q38:T38"/>
    <mergeCell ref="B74:F74"/>
    <mergeCell ref="B68:F68"/>
    <mergeCell ref="G64:K64"/>
    <mergeCell ref="U74:Z74"/>
    <mergeCell ref="L70:P70"/>
    <mergeCell ref="AU32:BA32"/>
    <mergeCell ref="V92:Z92"/>
    <mergeCell ref="U76:Z76"/>
    <mergeCell ref="B28:F29"/>
    <mergeCell ref="AR57:AT57"/>
    <mergeCell ref="G36:K36"/>
    <mergeCell ref="L32:P32"/>
    <mergeCell ref="AU58:BA58"/>
    <mergeCell ref="G51:K51"/>
    <mergeCell ref="B88:C88"/>
    <mergeCell ref="AU73:BA73"/>
    <mergeCell ref="L55:P55"/>
    <mergeCell ref="AU48:BA48"/>
    <mergeCell ref="AR50:AT50"/>
    <mergeCell ref="AA69:AN69"/>
    <mergeCell ref="G58:K58"/>
    <mergeCell ref="AR60:AT60"/>
    <mergeCell ref="D86:O86"/>
    <mergeCell ref="AR78:AT78"/>
    <mergeCell ref="AU46:BA46"/>
    <mergeCell ref="AU28:BA29"/>
    <mergeCell ref="W83:AG83"/>
    <mergeCell ref="G8:AL8"/>
    <mergeCell ref="U58:Z58"/>
    <mergeCell ref="L30:P30"/>
    <mergeCell ref="U73:Z73"/>
    <mergeCell ref="AN6:AZ6"/>
    <mergeCell ref="AR54:AT54"/>
    <mergeCell ref="B78:F78"/>
    <mergeCell ref="AR41:AT41"/>
    <mergeCell ref="L44:P44"/>
    <mergeCell ref="AR56:AT56"/>
    <mergeCell ref="L31:P31"/>
    <mergeCell ref="AR43:AT43"/>
    <mergeCell ref="B55:F55"/>
    <mergeCell ref="AO75:AQ75"/>
    <mergeCell ref="Q44:T44"/>
    <mergeCell ref="AA47:AN47"/>
    <mergeCell ref="G59:K59"/>
    <mergeCell ref="AU57:BA57"/>
    <mergeCell ref="G28:K29"/>
    <mergeCell ref="U53:Z53"/>
    <mergeCell ref="B71:F71"/>
    <mergeCell ref="G67:K67"/>
    <mergeCell ref="G61:K61"/>
    <mergeCell ref="L57:P57"/>
    <mergeCell ref="AA95:AE95"/>
    <mergeCell ref="AU36:BA36"/>
    <mergeCell ref="Q24:Y24"/>
    <mergeCell ref="U45:Z45"/>
    <mergeCell ref="B63:F63"/>
    <mergeCell ref="B50:F50"/>
    <mergeCell ref="G46:K46"/>
    <mergeCell ref="G40:K40"/>
    <mergeCell ref="AA67:AN67"/>
    <mergeCell ref="AA61:AN61"/>
    <mergeCell ref="AA32:AN32"/>
    <mergeCell ref="AO62:AQ62"/>
    <mergeCell ref="AR28:AT28"/>
    <mergeCell ref="AA90:AE90"/>
    <mergeCell ref="G71:K71"/>
    <mergeCell ref="AR30:AT30"/>
    <mergeCell ref="U71:Z71"/>
    <mergeCell ref="P90:U90"/>
    <mergeCell ref="AU50:BA50"/>
    <mergeCell ref="B58:F58"/>
    <mergeCell ref="B52:F52"/>
    <mergeCell ref="G48:K48"/>
    <mergeCell ref="U68:Z68"/>
    <mergeCell ref="AU52:BA52"/>
    <mergeCell ref="B16:AX16"/>
    <mergeCell ref="P89:U89"/>
    <mergeCell ref="L54:P54"/>
    <mergeCell ref="Q67:T67"/>
    <mergeCell ref="G45:K45"/>
    <mergeCell ref="U60:Z60"/>
    <mergeCell ref="H84:R84"/>
    <mergeCell ref="L41:P41"/>
    <mergeCell ref="AA66:AN66"/>
    <mergeCell ref="AU34:BA34"/>
    <mergeCell ref="B65:F65"/>
    <mergeCell ref="L56:P56"/>
    <mergeCell ref="AU49:BA49"/>
    <mergeCell ref="Q69:T69"/>
    <mergeCell ref="G47:K47"/>
    <mergeCell ref="C19:AT19"/>
    <mergeCell ref="B60:F60"/>
    <mergeCell ref="L42:P42"/>
    <mergeCell ref="AU39:BA39"/>
    <mergeCell ref="G62:K62"/>
    <mergeCell ref="AR29:AT29"/>
    <mergeCell ref="B53:F53"/>
    <mergeCell ref="AR44:AT44"/>
    <mergeCell ref="U79:Z79"/>
    <mergeCell ref="D93:O93"/>
    <mergeCell ref="G37:K37"/>
    <mergeCell ref="Q68:T68"/>
    <mergeCell ref="V93:Z93"/>
    <mergeCell ref="U52:Z52"/>
    <mergeCell ref="B57:F57"/>
    <mergeCell ref="AA45:AN45"/>
    <mergeCell ref="AO59:AQ59"/>
    <mergeCell ref="L73:P73"/>
    <mergeCell ref="AO46:AQ46"/>
    <mergeCell ref="AO61:AQ61"/>
    <mergeCell ref="AA59:AN59"/>
    <mergeCell ref="AA89:AE89"/>
    <mergeCell ref="AA46:AN46"/>
    <mergeCell ref="Q79:T79"/>
    <mergeCell ref="AA64:AN64"/>
    <mergeCell ref="AA51:AN51"/>
    <mergeCell ref="AA71:AN71"/>
    <mergeCell ref="U70:Z70"/>
    <mergeCell ref="B75:F75"/>
    <mergeCell ref="V86:Z86"/>
    <mergeCell ref="Q74:T74"/>
    <mergeCell ref="B62:F62"/>
    <mergeCell ref="U47:Z47"/>
    <mergeCell ref="D91:O91"/>
    <mergeCell ref="Q66:T66"/>
    <mergeCell ref="B43:F43"/>
    <mergeCell ref="AB18:AE18"/>
    <mergeCell ref="H83:R83"/>
    <mergeCell ref="Q53:T53"/>
    <mergeCell ref="AU33:BA33"/>
    <mergeCell ref="U42:Z42"/>
    <mergeCell ref="L71:P71"/>
    <mergeCell ref="B25:BA25"/>
    <mergeCell ref="AU30:BA30"/>
    <mergeCell ref="AU59:BA59"/>
    <mergeCell ref="G32:K32"/>
    <mergeCell ref="U32:Z32"/>
    <mergeCell ref="I20:R20"/>
    <mergeCell ref="B31:F31"/>
    <mergeCell ref="AO74:AQ74"/>
    <mergeCell ref="AR40:AT40"/>
    <mergeCell ref="Q76:T76"/>
    <mergeCell ref="B39:F39"/>
    <mergeCell ref="AR33:AT33"/>
    <mergeCell ref="AA77:AN77"/>
    <mergeCell ref="AR79:AT79"/>
    <mergeCell ref="P87:U87"/>
    <mergeCell ref="P93:U93"/>
    <mergeCell ref="L58:P58"/>
    <mergeCell ref="AA70:AN70"/>
    <mergeCell ref="B34:F34"/>
    <mergeCell ref="AO71:AQ71"/>
    <mergeCell ref="AU78:BA78"/>
    <mergeCell ref="Q73:T73"/>
    <mergeCell ref="U31:Z31"/>
    <mergeCell ref="L60:P60"/>
    <mergeCell ref="AR72:AT72"/>
    <mergeCell ref="AA74:AN74"/>
    <mergeCell ref="AU80:BA80"/>
    <mergeCell ref="AO48:AQ48"/>
    <mergeCell ref="AO66:AQ66"/>
    <mergeCell ref="AA76:AN76"/>
    <mergeCell ref="AO77:AQ77"/>
    <mergeCell ref="AO68:AQ68"/>
    <mergeCell ref="B90:C90"/>
    <mergeCell ref="B54:F54"/>
    <mergeCell ref="AO43:AQ43"/>
    <mergeCell ref="G42:K42"/>
    <mergeCell ref="U57:Z57"/>
    <mergeCell ref="AA50:AM50"/>
    <mergeCell ref="B56:F56"/>
    <mergeCell ref="O10:T10"/>
    <mergeCell ref="G76:K76"/>
    <mergeCell ref="L72:P72"/>
    <mergeCell ref="D90:O90"/>
    <mergeCell ref="AU65:BA65"/>
    <mergeCell ref="Q60:T60"/>
    <mergeCell ref="B33:F33"/>
    <mergeCell ref="U49:Z49"/>
    <mergeCell ref="V90:Z90"/>
    <mergeCell ref="B79:F79"/>
    <mergeCell ref="U36:Z36"/>
    <mergeCell ref="AA42:AN42"/>
    <mergeCell ref="U30:Z30"/>
    <mergeCell ref="L65:P65"/>
    <mergeCell ref="B41:F41"/>
    <mergeCell ref="B35:F35"/>
    <mergeCell ref="G77:K77"/>
    <mergeCell ref="AO53:AQ53"/>
    <mergeCell ref="AO45:AQ45"/>
    <mergeCell ref="AA20:AF20"/>
    <mergeCell ref="AO38:AQ38"/>
    <mergeCell ref="AA48:AN48"/>
    <mergeCell ref="U54:Z54"/>
    <mergeCell ref="Q71:T71"/>
    <mergeCell ref="AR51:AT51"/>
    <mergeCell ref="B87:C87"/>
    <mergeCell ref="AO55:AQ55"/>
    <mergeCell ref="AN22:BA22"/>
    <mergeCell ref="B38:F38"/>
    <mergeCell ref="G34:K34"/>
    <mergeCell ref="D89:O89"/>
    <mergeCell ref="AA53:AN53"/>
    <mergeCell ref="AO40:AQ40"/>
    <mergeCell ref="U35:Z35"/>
    <mergeCell ref="D88:O88"/>
    <mergeCell ref="AA68:AN68"/>
    <mergeCell ref="Q58:T58"/>
    <mergeCell ref="B40:F40"/>
    <mergeCell ref="AO69:AQ69"/>
    <mergeCell ref="U34:Z34"/>
    <mergeCell ref="B30:F30"/>
    <mergeCell ref="AR35:AT35"/>
    <mergeCell ref="AU35:BA35"/>
    <mergeCell ref="AR31:AT31"/>
    <mergeCell ref="Q63:T63"/>
    <mergeCell ref="Q50:T50"/>
    <mergeCell ref="AR62:AT62"/>
    <mergeCell ref="AU70:BA70"/>
    <mergeCell ref="B22:AL22"/>
    <mergeCell ref="AO52:AQ52"/>
    <mergeCell ref="B92:C92"/>
    <mergeCell ref="AA55:AN55"/>
    <mergeCell ref="I18:R18"/>
    <mergeCell ref="B94:C94"/>
    <mergeCell ref="AA92:AE92"/>
    <mergeCell ref="AU75:BA75"/>
    <mergeCell ref="Q70:T70"/>
    <mergeCell ref="Q45:T45"/>
    <mergeCell ref="AR69:AT69"/>
    <mergeCell ref="L75:P75"/>
    <mergeCell ref="Q32:T32"/>
    <mergeCell ref="AA44:AN44"/>
    <mergeCell ref="P91:U91"/>
    <mergeCell ref="AA87:AE87"/>
    <mergeCell ref="AA58:AN58"/>
    <mergeCell ref="Q47:T47"/>
    <mergeCell ref="AO63:AQ63"/>
    <mergeCell ref="AA37:AN37"/>
    <mergeCell ref="AA73:AN73"/>
    <mergeCell ref="AA60:AN60"/>
    <mergeCell ref="AR64:AT64"/>
    <mergeCell ref="L39:P39"/>
    <mergeCell ref="L67:P67"/>
    <mergeCell ref="U84:V84"/>
    <mergeCell ref="AA52:AN52"/>
    <mergeCell ref="U82:AG82"/>
    <mergeCell ref="W84:AG84"/>
    <mergeCell ref="D87:O87"/>
    <mergeCell ref="AU62:BA62"/>
    <mergeCell ref="Q57:T57"/>
    <mergeCell ref="U33:Z33"/>
    <mergeCell ref="G66:K66"/>
    <mergeCell ref="L62:P62"/>
    <mergeCell ref="AR74:AT74"/>
    <mergeCell ref="AU64:BA64"/>
    <mergeCell ref="G53:K53"/>
    <mergeCell ref="AA49:AN49"/>
    <mergeCell ref="AU51:BA51"/>
    <mergeCell ref="Q42:T42"/>
    <mergeCell ref="G74:K74"/>
    <mergeCell ref="AO50:AQ50"/>
    <mergeCell ref="G68:K68"/>
    <mergeCell ref="L64:P64"/>
    <mergeCell ref="Q52:T52"/>
    <mergeCell ref="AR38:AT38"/>
    <mergeCell ref="L51:P51"/>
    <mergeCell ref="P94:U94"/>
    <mergeCell ref="G63:K63"/>
    <mergeCell ref="L59:P59"/>
    <mergeCell ref="AR71:AT71"/>
    <mergeCell ref="G50:K50"/>
    <mergeCell ref="U65:Z65"/>
    <mergeCell ref="L46:P46"/>
    <mergeCell ref="Q34:T34"/>
    <mergeCell ref="AR58:AT58"/>
    <mergeCell ref="G60:K60"/>
    <mergeCell ref="AR37:AT37"/>
    <mergeCell ref="L61:P61"/>
    <mergeCell ref="Q49:T49"/>
    <mergeCell ref="AR73:AT73"/>
    <mergeCell ref="G52:K52"/>
    <mergeCell ref="L48:P48"/>
    <mergeCell ref="Q36:T36"/>
    <mergeCell ref="AO39:AQ39"/>
    <mergeCell ref="AO42:AQ42"/>
    <mergeCell ref="AA39:AN39"/>
    <mergeCell ref="AO44:AQ44"/>
    <mergeCell ref="C84:G84"/>
    <mergeCell ref="G78:K78"/>
    <mergeCell ref="Q54:T54"/>
    <mergeCell ref="B5:AX5"/>
    <mergeCell ref="L35:P35"/>
    <mergeCell ref="AR47:AT47"/>
    <mergeCell ref="P92:U92"/>
    <mergeCell ref="G65:K65"/>
    <mergeCell ref="AR42:AT42"/>
    <mergeCell ref="U83:V83"/>
    <mergeCell ref="B6:F6"/>
    <mergeCell ref="Q35:T35"/>
    <mergeCell ref="AU54:BA54"/>
    <mergeCell ref="AU41:BA41"/>
    <mergeCell ref="Q23:Y23"/>
    <mergeCell ref="Q30:T30"/>
    <mergeCell ref="B72:F72"/>
    <mergeCell ref="AU56:BA56"/>
    <mergeCell ref="AU43:BA43"/>
    <mergeCell ref="AO30:AQ30"/>
    <mergeCell ref="AN24:BA24"/>
    <mergeCell ref="B70:F70"/>
    <mergeCell ref="AU67:BA67"/>
    <mergeCell ref="AU69:BA69"/>
    <mergeCell ref="P88:U88"/>
    <mergeCell ref="U78:Z78"/>
    <mergeCell ref="G55:K55"/>
    <mergeCell ref="C83:G83"/>
    <mergeCell ref="AU66:BA66"/>
    <mergeCell ref="U75:Z75"/>
    <mergeCell ref="AU53:BA53"/>
    <mergeCell ref="G39:K39"/>
    <mergeCell ref="G70:K70"/>
    <mergeCell ref="V88:Z88"/>
    <mergeCell ref="AU68:BA68"/>
    <mergeCell ref="AN10:AZ10"/>
    <mergeCell ref="L33:P33"/>
    <mergeCell ref="AO79:AQ79"/>
    <mergeCell ref="AR45:AT45"/>
    <mergeCell ref="U39:Z39"/>
    <mergeCell ref="AR59:AT59"/>
    <mergeCell ref="L34:P34"/>
    <mergeCell ref="AR46:AT46"/>
    <mergeCell ref="Q31:T31"/>
    <mergeCell ref="AA28:AN29"/>
    <mergeCell ref="L49:P49"/>
    <mergeCell ref="AR67:AT67"/>
    <mergeCell ref="AR61:AT61"/>
    <mergeCell ref="L36:P36"/>
    <mergeCell ref="AR48:AT48"/>
    <mergeCell ref="AO37:AQ37"/>
  </mergeCells>
  <conditionalFormatting sqref="AA24:AL24">
    <cfRule type="cellIs" dxfId="1" priority="1" operator="greaterThan">
      <formula>0</formula>
    </cfRule>
    <cfRule type="cellIs" dxfId="0" priority="2" operator="lessThan">
      <formula>"&gt;0"</formula>
    </cfRule>
  </conditionalFormatting>
  <printOptions horizontalCentered="1"/>
  <pageMargins left="0.25" right="0.25" top="0.75" bottom="0.75" header="0.3" footer="0.3"/>
  <pageSetup paperSize="9" scale="4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7">
    <pageSetUpPr fitToPage="1"/>
  </sheetPr>
  <dimension ref="B1:BE85"/>
  <sheetViews>
    <sheetView showGridLines="0" topLeftCell="A52" zoomScaleNormal="100" zoomScaleSheetLayoutView="100" workbookViewId="0">
      <selection activeCell="U29" sqref="U29:Z29"/>
    </sheetView>
  </sheetViews>
  <sheetFormatPr defaultColWidth="8.88671875" defaultRowHeight="13.95" customHeight="1" x14ac:dyDescent="0.25"/>
  <cols>
    <col min="1" max="1" width="1.44140625" style="15" customWidth="1"/>
    <col min="2" max="2" width="1.109375" style="15" customWidth="1"/>
    <col min="3" max="3" width="2" style="15" customWidth="1"/>
    <col min="4" max="5" width="2.6640625" style="15" customWidth="1"/>
    <col min="6" max="6" width="3.33203125" style="15" customWidth="1"/>
    <col min="7" max="7" width="4.5546875" style="15" customWidth="1"/>
    <col min="8" max="9" width="2.6640625" style="15" customWidth="1"/>
    <col min="10" max="10" width="2.109375" style="15" customWidth="1"/>
    <col min="11" max="11" width="3.109375" style="15" customWidth="1"/>
    <col min="12" max="16" width="5.33203125" style="15" customWidth="1"/>
    <col min="17" max="17" width="2.44140625" style="15" customWidth="1"/>
    <col min="18" max="18" width="2.6640625" style="15" customWidth="1"/>
    <col min="19" max="19" width="3.109375" style="15" customWidth="1"/>
    <col min="20" max="20" width="2.5546875" style="15" customWidth="1"/>
    <col min="21" max="21" width="8" style="15" customWidth="1"/>
    <col min="22" max="25" width="2.6640625" style="15" customWidth="1"/>
    <col min="26" max="26" width="3.6640625" style="15" customWidth="1"/>
    <col min="27" max="30" width="2.6640625" style="15" customWidth="1"/>
    <col min="31" max="31" width="2.109375" style="15" customWidth="1"/>
    <col min="32" max="32" width="3.109375" style="15" customWidth="1"/>
    <col min="33" max="34" width="2.6640625" style="15" customWidth="1"/>
    <col min="35" max="35" width="10" style="15" customWidth="1"/>
    <col min="36" max="36" width="1.6640625" style="15" customWidth="1"/>
    <col min="37" max="37" width="2.6640625" style="15" customWidth="1"/>
    <col min="38" max="38" width="2" style="15" customWidth="1"/>
    <col min="39" max="39" width="2.33203125" style="15" customWidth="1"/>
    <col min="40" max="43" width="9.109375" style="15" customWidth="1"/>
    <col min="44" max="44" width="4.44140625" style="15" customWidth="1"/>
    <col min="45" max="45" width="4.5546875" style="15" customWidth="1"/>
    <col min="46" max="46" width="3.88671875" style="15" customWidth="1"/>
    <col min="47" max="47" width="1.88671875" style="15" customWidth="1"/>
    <col min="48" max="48" width="2.5546875" style="15" customWidth="1"/>
    <col min="49" max="49" width="0.88671875" style="15" customWidth="1"/>
    <col min="50" max="50" width="1.33203125" style="15" customWidth="1"/>
    <col min="51" max="54" width="2.6640625" style="15" customWidth="1"/>
    <col min="55" max="55" width="10" style="68" bestFit="1" customWidth="1"/>
    <col min="56" max="56" width="2.6640625" style="15" customWidth="1"/>
    <col min="57" max="57" width="15.88671875" style="15" customWidth="1"/>
    <col min="58" max="68" width="2.6640625" style="15" customWidth="1"/>
    <col min="69" max="80" width="8.88671875" style="15" customWidth="1"/>
    <col min="81" max="16384" width="8.88671875" style="15"/>
  </cols>
  <sheetData>
    <row r="1" spans="2:53" ht="9.75" customHeight="1" x14ac:dyDescent="0.25">
      <c r="B1" s="176" t="s">
        <v>0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61"/>
    </row>
    <row r="2" spans="2:53" ht="54.75" customHeight="1" x14ac:dyDescent="0.25">
      <c r="B2" s="167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68"/>
    </row>
    <row r="3" spans="2:53" ht="7.5" customHeight="1" x14ac:dyDescent="0.25">
      <c r="B3" s="177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16"/>
      <c r="AZ3" s="16"/>
      <c r="BA3" s="16"/>
    </row>
    <row r="4" spans="2:53" ht="8.25" customHeight="1" x14ac:dyDescent="0.25">
      <c r="B4" s="105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7"/>
      <c r="AZ4" s="17"/>
      <c r="BA4" s="18"/>
    </row>
    <row r="5" spans="2:53" ht="23.25" customHeight="1" x14ac:dyDescent="0.25">
      <c r="B5" s="108" t="s">
        <v>1</v>
      </c>
      <c r="C5" s="103"/>
      <c r="D5" s="103"/>
      <c r="E5" s="103"/>
      <c r="F5" s="103"/>
      <c r="G5" s="16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8" t="s">
        <v>2</v>
      </c>
      <c r="AA5" s="163"/>
      <c r="AB5" s="103"/>
      <c r="AC5" s="103"/>
      <c r="AD5" s="103"/>
      <c r="AE5" s="103"/>
      <c r="AF5" s="103"/>
      <c r="AG5" s="103"/>
      <c r="AH5" s="103"/>
      <c r="AI5" s="19"/>
      <c r="AJ5" s="179" t="s">
        <v>3</v>
      </c>
      <c r="AK5" s="103"/>
      <c r="AL5" s="103"/>
      <c r="AM5" s="103"/>
      <c r="AN5" s="155" t="str">
        <f>'Bases - Cadastro'!A10</f>
        <v>210833 PROADI Projeto Rede CONASEMS/ COSEMS</v>
      </c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20"/>
    </row>
    <row r="6" spans="2:53" ht="8.25" customHeight="1" x14ac:dyDescent="0.25">
      <c r="B6" s="59"/>
      <c r="C6" s="54"/>
      <c r="D6" s="54"/>
      <c r="E6" s="54"/>
      <c r="F6" s="54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8"/>
      <c r="AA6" s="58"/>
      <c r="AB6" s="58"/>
      <c r="AC6" s="58"/>
      <c r="AD6" s="58"/>
      <c r="AE6" s="58"/>
      <c r="AF6" s="58"/>
      <c r="AG6" s="58"/>
      <c r="AH6" s="58"/>
      <c r="AI6" s="19"/>
      <c r="AJ6" s="62"/>
      <c r="AK6" s="62"/>
      <c r="AL6" s="62"/>
      <c r="AM6" s="62"/>
      <c r="BA6" s="20"/>
    </row>
    <row r="7" spans="2:53" ht="23.25" customHeight="1" x14ac:dyDescent="0.25">
      <c r="B7" s="108" t="s">
        <v>5</v>
      </c>
      <c r="C7" s="103"/>
      <c r="D7" s="103"/>
      <c r="E7" s="103"/>
      <c r="F7" s="103"/>
      <c r="G7" s="154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62"/>
      <c r="BA7" s="20"/>
    </row>
    <row r="8" spans="2:53" ht="8.25" customHeight="1" x14ac:dyDescent="0.25">
      <c r="B8" s="59"/>
      <c r="C8" s="54"/>
      <c r="D8" s="54"/>
      <c r="E8" s="54"/>
      <c r="F8" s="54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8"/>
      <c r="AA8" s="58"/>
      <c r="AB8" s="58"/>
      <c r="AC8" s="58"/>
      <c r="AD8" s="58"/>
      <c r="AE8" s="58"/>
      <c r="AF8" s="58"/>
      <c r="AG8" s="58"/>
      <c r="AH8" s="58"/>
      <c r="AI8" s="19"/>
      <c r="AJ8" s="62"/>
      <c r="AK8" s="62"/>
      <c r="AL8" s="62"/>
      <c r="AM8" s="62"/>
      <c r="BA8" s="20"/>
    </row>
    <row r="9" spans="2:53" ht="22.5" customHeight="1" x14ac:dyDescent="0.25">
      <c r="B9" s="63" t="s">
        <v>6</v>
      </c>
      <c r="D9" s="8"/>
      <c r="E9" s="8"/>
      <c r="F9" s="8"/>
      <c r="G9" s="138"/>
      <c r="H9" s="103"/>
      <c r="I9" s="103"/>
      <c r="J9" s="103"/>
      <c r="K9" s="103"/>
      <c r="L9" s="103"/>
      <c r="M9" s="103"/>
      <c r="N9" s="58" t="s">
        <v>646</v>
      </c>
      <c r="O9" s="138"/>
      <c r="P9" s="103"/>
      <c r="Q9" s="103"/>
      <c r="R9" s="103"/>
      <c r="S9" s="103"/>
      <c r="T9" s="103"/>
      <c r="W9" s="21"/>
      <c r="X9" s="21"/>
      <c r="Y9" s="21"/>
      <c r="Z9" s="21"/>
      <c r="AA9" s="21"/>
      <c r="AB9" s="21"/>
      <c r="AC9" s="21"/>
      <c r="AD9" s="21"/>
      <c r="AG9" s="179" t="s">
        <v>8</v>
      </c>
      <c r="AH9" s="103"/>
      <c r="AI9" s="103"/>
      <c r="AJ9" s="103"/>
      <c r="AK9" s="103"/>
      <c r="AL9" s="103"/>
      <c r="AM9" s="103"/>
      <c r="AN9" s="138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27"/>
    </row>
    <row r="10" spans="2:53" ht="15" customHeight="1" x14ac:dyDescent="0.25">
      <c r="B10" s="26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21"/>
      <c r="P10" s="28"/>
      <c r="V10" s="29"/>
      <c r="W10" s="29"/>
      <c r="X10" s="29"/>
      <c r="Y10" s="29"/>
      <c r="Z10" s="29"/>
      <c r="AA10" s="29"/>
      <c r="AB10" s="29"/>
      <c r="AC10" s="29"/>
      <c r="AD10" s="29"/>
      <c r="AY10" s="21"/>
      <c r="AZ10" s="21"/>
      <c r="BA10" s="27"/>
    </row>
    <row r="11" spans="2:53" ht="15" customHeight="1" x14ac:dyDescent="0.25">
      <c r="B11" s="63" t="s">
        <v>9</v>
      </c>
      <c r="C11" s="58"/>
      <c r="D11" s="54"/>
      <c r="E11" s="54"/>
      <c r="F11" s="54"/>
      <c r="G11" s="54"/>
      <c r="H11" s="16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28"/>
      <c r="V11" s="28"/>
      <c r="W11" s="28"/>
      <c r="X11" s="28"/>
      <c r="Y11" s="28"/>
      <c r="Z11" s="28"/>
      <c r="AA11" s="29"/>
      <c r="AB11" s="29"/>
      <c r="AC11" s="29"/>
      <c r="AD11" s="29"/>
      <c r="AE11" s="28" t="s">
        <v>11</v>
      </c>
      <c r="AF11" s="28"/>
      <c r="AG11" s="28"/>
      <c r="AH11" s="28"/>
      <c r="AI11" s="28"/>
      <c r="AJ11" s="28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1"/>
      <c r="AZ11" s="21"/>
      <c r="BA11" s="27"/>
    </row>
    <row r="12" spans="2:53" ht="15" customHeight="1" x14ac:dyDescent="0.25">
      <c r="B12" s="26"/>
      <c r="C12" s="58"/>
      <c r="D12" s="54"/>
      <c r="E12" s="54"/>
      <c r="F12" s="54"/>
      <c r="G12" s="54"/>
      <c r="H12" s="8"/>
      <c r="I12" s="21"/>
      <c r="J12" s="21"/>
      <c r="K12" s="21"/>
      <c r="L12" s="54"/>
      <c r="M12" s="8"/>
      <c r="N12" s="21"/>
      <c r="O12" s="21"/>
      <c r="P12" s="21"/>
      <c r="Q12" s="21"/>
      <c r="R12" s="21"/>
      <c r="AF12" s="28"/>
      <c r="AG12" s="28"/>
      <c r="AH12" s="28"/>
      <c r="AI12" s="28"/>
      <c r="AJ12" s="28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1"/>
      <c r="AZ12" s="21"/>
      <c r="BA12" s="27"/>
    </row>
    <row r="13" spans="2:53" ht="15" customHeight="1" x14ac:dyDescent="0.25">
      <c r="B13" s="26"/>
      <c r="C13" s="58"/>
      <c r="D13" s="54"/>
      <c r="E13" s="54"/>
      <c r="F13" s="54"/>
      <c r="G13" s="54"/>
      <c r="H13" s="8"/>
      <c r="I13" s="21"/>
      <c r="J13" s="21"/>
      <c r="K13" s="21"/>
      <c r="L13" s="54"/>
      <c r="M13" s="8"/>
      <c r="N13" s="21"/>
      <c r="O13" s="21"/>
      <c r="P13" s="21"/>
      <c r="Q13" s="21"/>
      <c r="R13" s="21"/>
      <c r="AF13" s="28"/>
      <c r="AG13" s="28"/>
      <c r="AH13" s="28"/>
      <c r="AI13" s="28"/>
      <c r="AJ13" s="28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1"/>
      <c r="AZ13" s="21"/>
      <c r="BA13" s="27"/>
    </row>
    <row r="14" spans="2:53" ht="15" customHeight="1" x14ac:dyDescent="0.25">
      <c r="B14" s="26"/>
      <c r="C14" s="29"/>
      <c r="D14" s="8" t="s">
        <v>12</v>
      </c>
      <c r="I14" s="8" t="s">
        <v>13</v>
      </c>
      <c r="R14" s="58"/>
      <c r="S14" s="54" t="s">
        <v>14</v>
      </c>
      <c r="AF14" s="29"/>
      <c r="AH14" s="54"/>
      <c r="AI14" s="54" t="s">
        <v>15</v>
      </c>
      <c r="AJ14" s="54"/>
      <c r="AK14" s="54"/>
      <c r="AL14" s="54"/>
      <c r="AM14" s="21"/>
      <c r="AN14" s="58"/>
      <c r="AO14" s="58"/>
      <c r="AP14" s="58"/>
      <c r="AQ14" s="58"/>
      <c r="AR14" s="58"/>
      <c r="AS14" s="58"/>
      <c r="AT14" s="58"/>
      <c r="AU14" s="54"/>
      <c r="AV14" s="54"/>
      <c r="AW14" s="54"/>
      <c r="AX14" s="54"/>
      <c r="AY14" s="21"/>
      <c r="AZ14" s="21"/>
      <c r="BA14" s="27"/>
    </row>
    <row r="15" spans="2:53" ht="8.25" customHeight="1" x14ac:dyDescent="0.25">
      <c r="B15" s="147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22"/>
      <c r="AZ15" s="22"/>
      <c r="BA15" s="23"/>
    </row>
    <row r="16" spans="2:53" ht="9" customHeight="1" x14ac:dyDescent="0.25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</row>
    <row r="17" spans="2:53" ht="16.5" customHeight="1" x14ac:dyDescent="0.25">
      <c r="B17" s="64"/>
      <c r="C17" s="55" t="s">
        <v>16</v>
      </c>
      <c r="D17" s="56"/>
      <c r="E17" s="56"/>
      <c r="F17" s="55"/>
      <c r="G17" s="55"/>
      <c r="H17" s="55"/>
      <c r="I17" s="129"/>
      <c r="J17" s="130"/>
      <c r="K17" s="130"/>
      <c r="L17" s="130"/>
      <c r="M17" s="130"/>
      <c r="N17" s="130"/>
      <c r="O17" s="130"/>
      <c r="P17" s="130"/>
      <c r="Q17" s="130"/>
      <c r="R17" s="130"/>
      <c r="S17" s="57" t="s">
        <v>17</v>
      </c>
      <c r="T17" s="56"/>
      <c r="U17" s="56"/>
      <c r="V17" s="56"/>
      <c r="W17" s="56"/>
      <c r="X17" s="56"/>
      <c r="Y17" s="56"/>
      <c r="Z17" s="61"/>
      <c r="AA17" s="61"/>
      <c r="AB17" s="142"/>
      <c r="AC17" s="130"/>
      <c r="AD17" s="130"/>
      <c r="AE17" s="130"/>
      <c r="AF17" s="175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24"/>
      <c r="AT17" s="24"/>
      <c r="AU17" s="24"/>
      <c r="AV17" s="24"/>
      <c r="AW17" s="24"/>
      <c r="AX17" s="24"/>
      <c r="AY17" s="24"/>
      <c r="AZ17" s="24"/>
      <c r="BA17" s="25"/>
    </row>
    <row r="18" spans="2:53" ht="3.75" customHeight="1" x14ac:dyDescent="0.25">
      <c r="B18" s="26"/>
      <c r="C18" s="152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21"/>
      <c r="AV18" s="21"/>
      <c r="AW18" s="21"/>
      <c r="AX18" s="21"/>
      <c r="AY18" s="21"/>
      <c r="AZ18" s="21"/>
      <c r="BA18" s="27"/>
    </row>
    <row r="19" spans="2:53" ht="19.5" customHeight="1" x14ac:dyDescent="0.25">
      <c r="B19" s="172" t="s">
        <v>18</v>
      </c>
      <c r="C19" s="103"/>
      <c r="D19" s="103"/>
      <c r="E19" s="103"/>
      <c r="F19" s="103"/>
      <c r="G19" s="103"/>
      <c r="H19" s="10"/>
      <c r="I19" s="102"/>
      <c r="J19" s="103"/>
      <c r="K19" s="103"/>
      <c r="L19" s="103"/>
      <c r="M19" s="103"/>
      <c r="N19" s="103"/>
      <c r="O19" s="103"/>
      <c r="P19" s="103"/>
      <c r="Q19" s="103"/>
      <c r="R19" s="103"/>
      <c r="U19" s="158" t="s">
        <v>20</v>
      </c>
      <c r="V19" s="103"/>
      <c r="W19" s="103"/>
      <c r="X19" s="103"/>
      <c r="Y19" s="8"/>
      <c r="Z19" s="8"/>
      <c r="AA19" s="102"/>
      <c r="AB19" s="103"/>
      <c r="AC19" s="103"/>
      <c r="AD19" s="103"/>
      <c r="AE19" s="103"/>
      <c r="AF19" s="103"/>
      <c r="AG19" s="65"/>
      <c r="AH19" s="29" t="s">
        <v>22</v>
      </c>
      <c r="AI19" s="60"/>
      <c r="AJ19" s="65"/>
      <c r="AK19" s="65"/>
      <c r="AL19" s="65"/>
      <c r="AM19" s="65"/>
      <c r="AN19" s="8" t="s">
        <v>23</v>
      </c>
      <c r="AP19" s="170"/>
      <c r="AQ19" s="103"/>
      <c r="AR19" s="103"/>
      <c r="AS19" s="29" t="s">
        <v>22</v>
      </c>
      <c r="AT19" s="60"/>
      <c r="AU19" s="21"/>
      <c r="AV19" s="21"/>
      <c r="AW19" s="21"/>
      <c r="AX19" s="21"/>
      <c r="AY19" s="21"/>
      <c r="AZ19" s="21"/>
      <c r="BA19" s="27"/>
    </row>
    <row r="20" spans="2:53" ht="8.25" customHeight="1" x14ac:dyDescent="0.25">
      <c r="B20" s="66"/>
      <c r="C20" s="22"/>
      <c r="D20" s="22"/>
      <c r="E20" s="22"/>
      <c r="F20" s="22"/>
      <c r="G20" s="22"/>
      <c r="H20" s="22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2"/>
      <c r="BA20" s="23"/>
    </row>
    <row r="21" spans="2:53" ht="13.95" customHeight="1" x14ac:dyDescent="0.25">
      <c r="B21" s="127" t="s">
        <v>24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8"/>
      <c r="AM21" s="73"/>
      <c r="AN21" s="115" t="s">
        <v>25</v>
      </c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8"/>
    </row>
    <row r="22" spans="2:53" ht="13.95" customHeight="1" x14ac:dyDescent="0.25">
      <c r="B22" s="169" t="s">
        <v>26</v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68"/>
      <c r="P22" s="31"/>
      <c r="Q22" s="111" t="s">
        <v>27</v>
      </c>
      <c r="R22" s="112"/>
      <c r="S22" s="112"/>
      <c r="T22" s="112"/>
      <c r="U22" s="112"/>
      <c r="V22" s="112"/>
      <c r="W22" s="112"/>
      <c r="X22" s="112"/>
      <c r="Y22" s="113"/>
      <c r="Z22" s="31"/>
      <c r="AA22" s="111" t="s">
        <v>28</v>
      </c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3"/>
      <c r="AM22" s="31"/>
      <c r="AN22" s="183" t="s">
        <v>29</v>
      </c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8"/>
    </row>
    <row r="23" spans="2:53" ht="13.95" customHeight="1" x14ac:dyDescent="0.25">
      <c r="B23" s="173">
        <v>0</v>
      </c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4"/>
      <c r="P23" s="32"/>
      <c r="Q23" s="115">
        <f>AU67</f>
        <v>1384.31</v>
      </c>
      <c r="R23" s="97"/>
      <c r="S23" s="97"/>
      <c r="T23" s="97"/>
      <c r="U23" s="97"/>
      <c r="V23" s="97"/>
      <c r="W23" s="97"/>
      <c r="X23" s="97"/>
      <c r="Y23" s="98"/>
      <c r="Z23" s="33"/>
      <c r="AA23" s="202">
        <v>0</v>
      </c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4"/>
      <c r="AM23" s="72"/>
      <c r="AN23" s="115">
        <f>AU67</f>
        <v>1384.31</v>
      </c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8"/>
    </row>
    <row r="24" spans="2:53" ht="8.25" customHeight="1" x14ac:dyDescent="0.25">
      <c r="B24" s="143" t="s">
        <v>30</v>
      </c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</row>
    <row r="25" spans="2:53" ht="13.95" customHeight="1" x14ac:dyDescent="0.25">
      <c r="B25" s="160" t="s">
        <v>31</v>
      </c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61"/>
    </row>
    <row r="26" spans="2:53" ht="9" customHeight="1" x14ac:dyDescent="0.25">
      <c r="B26" s="13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4"/>
    </row>
    <row r="27" spans="2:53" ht="13.95" customHeight="1" x14ac:dyDescent="0.25">
      <c r="B27" s="192" t="s">
        <v>32</v>
      </c>
      <c r="C27" s="106"/>
      <c r="D27" s="106"/>
      <c r="E27" s="106"/>
      <c r="F27" s="120"/>
      <c r="G27" s="192" t="s">
        <v>33</v>
      </c>
      <c r="H27" s="106"/>
      <c r="I27" s="106"/>
      <c r="J27" s="106"/>
      <c r="K27" s="120"/>
      <c r="L27" s="192" t="s">
        <v>34</v>
      </c>
      <c r="M27" s="106"/>
      <c r="N27" s="106"/>
      <c r="O27" s="106"/>
      <c r="P27" s="120"/>
      <c r="Q27" s="192" t="s">
        <v>35</v>
      </c>
      <c r="R27" s="106"/>
      <c r="S27" s="106"/>
      <c r="T27" s="120"/>
      <c r="U27" s="192" t="s">
        <v>36</v>
      </c>
      <c r="V27" s="106"/>
      <c r="W27" s="106"/>
      <c r="X27" s="106"/>
      <c r="Y27" s="106"/>
      <c r="Z27" s="120"/>
      <c r="AA27" s="192" t="s">
        <v>37</v>
      </c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20"/>
      <c r="AO27" s="198" t="s">
        <v>38</v>
      </c>
      <c r="AP27" s="106"/>
      <c r="AQ27" s="120"/>
      <c r="AR27" s="198" t="s">
        <v>39</v>
      </c>
      <c r="AS27" s="106"/>
      <c r="AT27" s="120"/>
      <c r="AU27" s="192" t="s">
        <v>40</v>
      </c>
      <c r="AV27" s="106"/>
      <c r="AW27" s="106"/>
      <c r="AX27" s="106"/>
      <c r="AY27" s="106"/>
      <c r="AZ27" s="106"/>
      <c r="BA27" s="120"/>
    </row>
    <row r="28" spans="2:53" ht="13.5" customHeight="1" x14ac:dyDescent="0.25">
      <c r="B28" s="121"/>
      <c r="C28" s="112"/>
      <c r="D28" s="112"/>
      <c r="E28" s="112"/>
      <c r="F28" s="113"/>
      <c r="G28" s="121"/>
      <c r="H28" s="112"/>
      <c r="I28" s="112"/>
      <c r="J28" s="112"/>
      <c r="K28" s="113"/>
      <c r="L28" s="121"/>
      <c r="M28" s="112"/>
      <c r="N28" s="112"/>
      <c r="O28" s="112"/>
      <c r="P28" s="113"/>
      <c r="Q28" s="121"/>
      <c r="R28" s="112"/>
      <c r="S28" s="112"/>
      <c r="T28" s="113"/>
      <c r="U28" s="121"/>
      <c r="V28" s="112"/>
      <c r="W28" s="112"/>
      <c r="X28" s="112"/>
      <c r="Y28" s="112"/>
      <c r="Z28" s="113"/>
      <c r="AA28" s="121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3"/>
      <c r="AO28" s="200" t="s">
        <v>41</v>
      </c>
      <c r="AP28" s="112"/>
      <c r="AQ28" s="113"/>
      <c r="AR28" s="200" t="s">
        <v>648</v>
      </c>
      <c r="AS28" s="112"/>
      <c r="AT28" s="113"/>
      <c r="AU28" s="121"/>
      <c r="AV28" s="112"/>
      <c r="AW28" s="112"/>
      <c r="AX28" s="112"/>
      <c r="AY28" s="112"/>
      <c r="AZ28" s="112"/>
      <c r="BA28" s="113"/>
    </row>
    <row r="29" spans="2:53" ht="20.100000000000001" customHeight="1" x14ac:dyDescent="0.25">
      <c r="B29" s="190" t="s">
        <v>662</v>
      </c>
      <c r="C29" s="93"/>
      <c r="D29" s="93"/>
      <c r="E29" s="93"/>
      <c r="F29" s="94"/>
      <c r="G29" s="185">
        <v>210807</v>
      </c>
      <c r="H29" s="97"/>
      <c r="I29" s="97"/>
      <c r="J29" s="97"/>
      <c r="K29" s="98"/>
      <c r="L29" s="185" t="str">
        <f>IF(G29="","",VLOOKUP($AN$5,'Bases - Cadastro'!A:C,3,0))</f>
        <v xml:space="preserve"> PROADI Projeto Rede CONASEMS/ COSEMS</v>
      </c>
      <c r="M29" s="97"/>
      <c r="N29" s="97"/>
      <c r="O29" s="97"/>
      <c r="P29" s="98"/>
      <c r="Q29" s="194"/>
      <c r="R29" s="93"/>
      <c r="S29" s="93"/>
      <c r="T29" s="94"/>
      <c r="U29" s="95" t="s">
        <v>663</v>
      </c>
      <c r="V29" s="93"/>
      <c r="W29" s="93"/>
      <c r="X29" s="93"/>
      <c r="Y29" s="93"/>
      <c r="Z29" s="94"/>
      <c r="AA29" s="95" t="s">
        <v>664</v>
      </c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4"/>
      <c r="AO29" s="95" t="s">
        <v>665</v>
      </c>
      <c r="AP29" s="93"/>
      <c r="AQ29" s="94"/>
      <c r="AR29" s="187" t="str">
        <f>_xlfn.IFNA(VLOOKUP(AO29,'Bases - Cadastro'!$A$37:$B$62,2,0),"")</f>
        <v/>
      </c>
      <c r="AS29" s="97"/>
      <c r="AT29" s="98"/>
      <c r="AU29" s="92">
        <v>1384.31</v>
      </c>
      <c r="AV29" s="93"/>
      <c r="AW29" s="93"/>
      <c r="AX29" s="93"/>
      <c r="AY29" s="93"/>
      <c r="AZ29" s="93"/>
      <c r="BA29" s="94"/>
    </row>
    <row r="30" spans="2:53" ht="20.100000000000001" customHeight="1" x14ac:dyDescent="0.25">
      <c r="B30" s="190"/>
      <c r="C30" s="93"/>
      <c r="D30" s="93"/>
      <c r="E30" s="93"/>
      <c r="F30" s="94"/>
      <c r="G30" s="185"/>
      <c r="H30" s="97"/>
      <c r="I30" s="97"/>
      <c r="J30" s="97"/>
      <c r="K30" s="98"/>
      <c r="L30" s="185" t="str">
        <f>IF(G30="","",VLOOKUP($AN$5,'Bases - Cadastro'!A:C,3,0))</f>
        <v/>
      </c>
      <c r="M30" s="97"/>
      <c r="N30" s="97"/>
      <c r="O30" s="97"/>
      <c r="P30" s="98"/>
      <c r="Q30" s="194"/>
      <c r="R30" s="93"/>
      <c r="S30" s="93"/>
      <c r="T30" s="94"/>
      <c r="U30" s="95"/>
      <c r="V30" s="93"/>
      <c r="W30" s="93"/>
      <c r="X30" s="93"/>
      <c r="Y30" s="93"/>
      <c r="Z30" s="94"/>
      <c r="AA30" s="95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4"/>
      <c r="AO30" s="95"/>
      <c r="AP30" s="93"/>
      <c r="AQ30" s="94"/>
      <c r="AR30" s="187" t="str">
        <f>_xlfn.IFNA(VLOOKUP(AO30,'Bases - Cadastro'!$A$37:$B$62,2,0),"")</f>
        <v/>
      </c>
      <c r="AS30" s="97"/>
      <c r="AT30" s="98"/>
      <c r="AU30" s="92"/>
      <c r="AV30" s="93"/>
      <c r="AW30" s="93"/>
      <c r="AX30" s="93"/>
      <c r="AY30" s="93"/>
      <c r="AZ30" s="93"/>
      <c r="BA30" s="94"/>
    </row>
    <row r="31" spans="2:53" ht="20.100000000000001" customHeight="1" x14ac:dyDescent="0.25">
      <c r="B31" s="190"/>
      <c r="C31" s="93"/>
      <c r="D31" s="93"/>
      <c r="E31" s="93"/>
      <c r="F31" s="94"/>
      <c r="G31" s="185"/>
      <c r="H31" s="97"/>
      <c r="I31" s="97"/>
      <c r="J31" s="97"/>
      <c r="K31" s="98"/>
      <c r="L31" s="185" t="str">
        <f>IF(G31="","",VLOOKUP($AN$5,'Bases - Cadastro'!A:C,3,0))</f>
        <v/>
      </c>
      <c r="M31" s="97"/>
      <c r="N31" s="97"/>
      <c r="O31" s="97"/>
      <c r="P31" s="98"/>
      <c r="Q31" s="194"/>
      <c r="R31" s="93"/>
      <c r="S31" s="93"/>
      <c r="T31" s="94"/>
      <c r="U31" s="95"/>
      <c r="V31" s="93"/>
      <c r="W31" s="93"/>
      <c r="X31" s="93"/>
      <c r="Y31" s="93"/>
      <c r="Z31" s="94"/>
      <c r="AA31" s="95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4"/>
      <c r="AO31" s="95"/>
      <c r="AP31" s="93"/>
      <c r="AQ31" s="94"/>
      <c r="AR31" s="187" t="str">
        <f>_xlfn.IFNA(VLOOKUP(AO31,'Bases - Cadastro'!$A$37:$B$62,2,0),"")</f>
        <v/>
      </c>
      <c r="AS31" s="97"/>
      <c r="AT31" s="98"/>
      <c r="AU31" s="92"/>
      <c r="AV31" s="93"/>
      <c r="AW31" s="93"/>
      <c r="AX31" s="93"/>
      <c r="AY31" s="93"/>
      <c r="AZ31" s="93"/>
      <c r="BA31" s="94"/>
    </row>
    <row r="32" spans="2:53" ht="20.100000000000001" customHeight="1" x14ac:dyDescent="0.25">
      <c r="B32" s="190"/>
      <c r="C32" s="93"/>
      <c r="D32" s="93"/>
      <c r="E32" s="93"/>
      <c r="F32" s="94"/>
      <c r="G32" s="185"/>
      <c r="H32" s="97"/>
      <c r="I32" s="97"/>
      <c r="J32" s="97"/>
      <c r="K32" s="98"/>
      <c r="L32" s="185" t="str">
        <f>IF(G32="","",VLOOKUP($AN$5,'Bases - Cadastro'!A:C,3,0))</f>
        <v/>
      </c>
      <c r="M32" s="97"/>
      <c r="N32" s="97"/>
      <c r="O32" s="97"/>
      <c r="P32" s="98"/>
      <c r="Q32" s="194"/>
      <c r="R32" s="93"/>
      <c r="S32" s="93"/>
      <c r="T32" s="94"/>
      <c r="U32" s="95"/>
      <c r="V32" s="93"/>
      <c r="W32" s="93"/>
      <c r="X32" s="93"/>
      <c r="Y32" s="93"/>
      <c r="Z32" s="94"/>
      <c r="AA32" s="95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4"/>
      <c r="AO32" s="95"/>
      <c r="AP32" s="93"/>
      <c r="AQ32" s="94"/>
      <c r="AR32" s="187" t="str">
        <f>_xlfn.IFNA(VLOOKUP(AO32,'Bases - Cadastro'!$A$37:$B$62,2,0),"")</f>
        <v/>
      </c>
      <c r="AS32" s="97"/>
      <c r="AT32" s="98"/>
      <c r="AU32" s="92"/>
      <c r="AV32" s="93"/>
      <c r="AW32" s="93"/>
      <c r="AX32" s="93"/>
      <c r="AY32" s="93"/>
      <c r="AZ32" s="93"/>
      <c r="BA32" s="94"/>
    </row>
    <row r="33" spans="2:57" ht="28.5" customHeight="1" x14ac:dyDescent="0.25">
      <c r="B33" s="190"/>
      <c r="C33" s="93"/>
      <c r="D33" s="93"/>
      <c r="E33" s="93"/>
      <c r="F33" s="94"/>
      <c r="G33" s="185"/>
      <c r="H33" s="97"/>
      <c r="I33" s="97"/>
      <c r="J33" s="97"/>
      <c r="K33" s="98"/>
      <c r="L33" s="185" t="str">
        <f>IF(G33="","",VLOOKUP($AN$5,'Bases - Cadastro'!A:C,3,0))</f>
        <v/>
      </c>
      <c r="M33" s="97"/>
      <c r="N33" s="97"/>
      <c r="O33" s="97"/>
      <c r="P33" s="98"/>
      <c r="Q33" s="194"/>
      <c r="R33" s="93"/>
      <c r="S33" s="93"/>
      <c r="T33" s="94"/>
      <c r="U33" s="95"/>
      <c r="V33" s="93"/>
      <c r="W33" s="93"/>
      <c r="X33" s="93"/>
      <c r="Y33" s="93"/>
      <c r="Z33" s="94"/>
      <c r="AA33" s="95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4"/>
      <c r="AO33" s="95"/>
      <c r="AP33" s="93"/>
      <c r="AQ33" s="94"/>
      <c r="AR33" s="187" t="str">
        <f>_xlfn.IFNA(VLOOKUP(AO33,'Bases - Cadastro'!$A$37:$B$62,2,0),"")</f>
        <v/>
      </c>
      <c r="AS33" s="97"/>
      <c r="AT33" s="98"/>
      <c r="AU33" s="92"/>
      <c r="AV33" s="93"/>
      <c r="AW33" s="93"/>
      <c r="AX33" s="93"/>
      <c r="AY33" s="93"/>
      <c r="AZ33" s="93"/>
      <c r="BA33" s="94"/>
    </row>
    <row r="34" spans="2:57" ht="20.100000000000001" customHeight="1" x14ac:dyDescent="0.25">
      <c r="B34" s="190"/>
      <c r="C34" s="93"/>
      <c r="D34" s="93"/>
      <c r="E34" s="93"/>
      <c r="F34" s="94"/>
      <c r="G34" s="185"/>
      <c r="H34" s="97"/>
      <c r="I34" s="97"/>
      <c r="J34" s="97"/>
      <c r="K34" s="98"/>
      <c r="L34" s="185" t="str">
        <f>IF(G34="","",VLOOKUP($AN$5,'Bases - Cadastro'!A:C,3,0))</f>
        <v/>
      </c>
      <c r="M34" s="97"/>
      <c r="N34" s="97"/>
      <c r="O34" s="97"/>
      <c r="P34" s="98"/>
      <c r="Q34" s="194"/>
      <c r="R34" s="93"/>
      <c r="S34" s="93"/>
      <c r="T34" s="94"/>
      <c r="U34" s="95"/>
      <c r="V34" s="93"/>
      <c r="W34" s="93"/>
      <c r="X34" s="93"/>
      <c r="Y34" s="93"/>
      <c r="Z34" s="94"/>
      <c r="AA34" s="95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4"/>
      <c r="AO34" s="95"/>
      <c r="AP34" s="93"/>
      <c r="AQ34" s="94"/>
      <c r="AR34" s="187" t="str">
        <f>_xlfn.IFNA(VLOOKUP(AO34,'Bases - Cadastro'!$A$37:$B$62,2,0),"")</f>
        <v/>
      </c>
      <c r="AS34" s="97"/>
      <c r="AT34" s="98"/>
      <c r="AU34" s="92"/>
      <c r="AV34" s="93"/>
      <c r="AW34" s="93"/>
      <c r="AX34" s="93"/>
      <c r="AY34" s="93"/>
      <c r="AZ34" s="93"/>
      <c r="BA34" s="94"/>
      <c r="BD34" s="67"/>
    </row>
    <row r="35" spans="2:57" ht="20.100000000000001" customHeight="1" x14ac:dyDescent="0.3">
      <c r="B35" s="190"/>
      <c r="C35" s="93"/>
      <c r="D35" s="93"/>
      <c r="E35" s="93"/>
      <c r="F35" s="94"/>
      <c r="G35" s="185"/>
      <c r="H35" s="97"/>
      <c r="I35" s="97"/>
      <c r="J35" s="97"/>
      <c r="K35" s="98"/>
      <c r="L35" s="185" t="str">
        <f>IF(G35="","",VLOOKUP($AN$5,'Bases - Cadastro'!A:C,3,0))</f>
        <v/>
      </c>
      <c r="M35" s="97"/>
      <c r="N35" s="97"/>
      <c r="O35" s="97"/>
      <c r="P35" s="98"/>
      <c r="Q35" s="194"/>
      <c r="R35" s="93"/>
      <c r="S35" s="93"/>
      <c r="T35" s="94"/>
      <c r="U35" s="95"/>
      <c r="V35" s="93"/>
      <c r="W35" s="93"/>
      <c r="X35" s="93"/>
      <c r="Y35" s="93"/>
      <c r="Z35" s="94"/>
      <c r="AA35" s="95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4"/>
      <c r="AO35" s="95"/>
      <c r="AP35" s="93"/>
      <c r="AQ35" s="94"/>
      <c r="AR35" s="187" t="str">
        <f>_xlfn.IFNA(VLOOKUP(AO35,'Bases - Cadastro'!$A$37:$B$62,2,0),"")</f>
        <v/>
      </c>
      <c r="AS35" s="97"/>
      <c r="AT35" s="98"/>
      <c r="AU35" s="92"/>
      <c r="AV35" s="93"/>
      <c r="AW35" s="93"/>
      <c r="AX35" s="93"/>
      <c r="AY35" s="93"/>
      <c r="AZ35" s="93"/>
      <c r="BA35" s="94"/>
      <c r="BB35" s="34"/>
      <c r="BC35" s="69"/>
    </row>
    <row r="36" spans="2:57" ht="20.100000000000001" customHeight="1" x14ac:dyDescent="0.3">
      <c r="B36" s="190"/>
      <c r="C36" s="93"/>
      <c r="D36" s="93"/>
      <c r="E36" s="93"/>
      <c r="F36" s="94"/>
      <c r="G36" s="185"/>
      <c r="H36" s="97"/>
      <c r="I36" s="97"/>
      <c r="J36" s="97"/>
      <c r="K36" s="98"/>
      <c r="L36" s="185" t="str">
        <f>IF(G36="","",VLOOKUP($AN$5,'Bases - Cadastro'!A:C,3,0))</f>
        <v/>
      </c>
      <c r="M36" s="97"/>
      <c r="N36" s="97"/>
      <c r="O36" s="97"/>
      <c r="P36" s="98"/>
      <c r="Q36" s="194"/>
      <c r="R36" s="93"/>
      <c r="S36" s="93"/>
      <c r="T36" s="94"/>
      <c r="U36" s="95"/>
      <c r="V36" s="93"/>
      <c r="W36" s="93"/>
      <c r="X36" s="93"/>
      <c r="Y36" s="93"/>
      <c r="Z36" s="94"/>
      <c r="AA36" s="95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4"/>
      <c r="AO36" s="95"/>
      <c r="AP36" s="93"/>
      <c r="AQ36" s="94"/>
      <c r="AR36" s="187" t="str">
        <f>_xlfn.IFNA(VLOOKUP(AO36,'Bases - Cadastro'!$A$37:$B$62,2,0),"")</f>
        <v/>
      </c>
      <c r="AS36" s="97"/>
      <c r="AT36" s="98"/>
      <c r="AU36" s="92"/>
      <c r="AV36" s="93"/>
      <c r="AW36" s="93"/>
      <c r="AX36" s="93"/>
      <c r="AY36" s="93"/>
      <c r="AZ36" s="93"/>
      <c r="BA36" s="94"/>
      <c r="BB36" s="34"/>
      <c r="BC36" s="69"/>
    </row>
    <row r="37" spans="2:57" ht="20.100000000000001" customHeight="1" x14ac:dyDescent="0.25">
      <c r="B37" s="190"/>
      <c r="C37" s="93"/>
      <c r="D37" s="93"/>
      <c r="E37" s="93"/>
      <c r="F37" s="94"/>
      <c r="G37" s="185"/>
      <c r="H37" s="97"/>
      <c r="I37" s="97"/>
      <c r="J37" s="97"/>
      <c r="K37" s="98"/>
      <c r="L37" s="185" t="str">
        <f>IF(G37="","",VLOOKUP($AN$5,'Bases - Cadastro'!A:C,3,0))</f>
        <v/>
      </c>
      <c r="M37" s="97"/>
      <c r="N37" s="97"/>
      <c r="O37" s="97"/>
      <c r="P37" s="98"/>
      <c r="Q37" s="194"/>
      <c r="R37" s="93"/>
      <c r="S37" s="93"/>
      <c r="T37" s="94"/>
      <c r="U37" s="95"/>
      <c r="V37" s="93"/>
      <c r="W37" s="93"/>
      <c r="X37" s="93"/>
      <c r="Y37" s="93"/>
      <c r="Z37" s="94"/>
      <c r="AA37" s="95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4"/>
      <c r="AO37" s="95"/>
      <c r="AP37" s="93"/>
      <c r="AQ37" s="94"/>
      <c r="AR37" s="187" t="str">
        <f>_xlfn.IFNA(VLOOKUP(AO37,'Bases - Cadastro'!$A$37:$B$62,2,0),"")</f>
        <v/>
      </c>
      <c r="AS37" s="97"/>
      <c r="AT37" s="98"/>
      <c r="AU37" s="92"/>
      <c r="AV37" s="93"/>
      <c r="AW37" s="93"/>
      <c r="AX37" s="93"/>
      <c r="AY37" s="93"/>
      <c r="AZ37" s="93"/>
      <c r="BA37" s="94"/>
      <c r="BC37" s="70"/>
      <c r="BE37" s="67"/>
    </row>
    <row r="38" spans="2:57" ht="14.1" customHeight="1" x14ac:dyDescent="0.25">
      <c r="B38" s="190"/>
      <c r="C38" s="93"/>
      <c r="D38" s="93"/>
      <c r="E38" s="93"/>
      <c r="F38" s="94"/>
      <c r="G38" s="185"/>
      <c r="H38" s="97"/>
      <c r="I38" s="97"/>
      <c r="J38" s="97"/>
      <c r="K38" s="98"/>
      <c r="L38" s="185" t="str">
        <f>IF(G38="","",VLOOKUP($AN$5,'Bases - Cadastro'!A:C,3,0))</f>
        <v/>
      </c>
      <c r="M38" s="97"/>
      <c r="N38" s="97"/>
      <c r="O38" s="97"/>
      <c r="P38" s="98"/>
      <c r="Q38" s="194"/>
      <c r="R38" s="93"/>
      <c r="S38" s="93"/>
      <c r="T38" s="94"/>
      <c r="U38" s="95"/>
      <c r="V38" s="93"/>
      <c r="W38" s="93"/>
      <c r="X38" s="93"/>
      <c r="Y38" s="93"/>
      <c r="Z38" s="94"/>
      <c r="AA38" s="95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4"/>
      <c r="AO38" s="95"/>
      <c r="AP38" s="93"/>
      <c r="AQ38" s="94"/>
      <c r="AR38" s="187" t="str">
        <f>_xlfn.IFNA(VLOOKUP(AO38,'Bases - Cadastro'!$A$37:$B$62,2,0),"")</f>
        <v/>
      </c>
      <c r="AS38" s="97"/>
      <c r="AT38" s="98"/>
      <c r="AU38" s="92"/>
      <c r="AV38" s="93"/>
      <c r="AW38" s="93"/>
      <c r="AX38" s="93"/>
      <c r="AY38" s="93"/>
      <c r="AZ38" s="93"/>
      <c r="BA38" s="94"/>
    </row>
    <row r="39" spans="2:57" ht="14.1" customHeight="1" x14ac:dyDescent="0.25">
      <c r="B39" s="190"/>
      <c r="C39" s="93"/>
      <c r="D39" s="93"/>
      <c r="E39" s="93"/>
      <c r="F39" s="94"/>
      <c r="G39" s="185"/>
      <c r="H39" s="97"/>
      <c r="I39" s="97"/>
      <c r="J39" s="97"/>
      <c r="K39" s="98"/>
      <c r="L39" s="185" t="str">
        <f>IF(G39="","",VLOOKUP($AN$5,'Bases - Cadastro'!A:C,3,0))</f>
        <v/>
      </c>
      <c r="M39" s="97"/>
      <c r="N39" s="97"/>
      <c r="O39" s="97"/>
      <c r="P39" s="98"/>
      <c r="Q39" s="194"/>
      <c r="R39" s="93"/>
      <c r="S39" s="93"/>
      <c r="T39" s="94"/>
      <c r="U39" s="95"/>
      <c r="V39" s="93"/>
      <c r="W39" s="93"/>
      <c r="X39" s="93"/>
      <c r="Y39" s="93"/>
      <c r="Z39" s="94"/>
      <c r="AA39" s="95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4"/>
      <c r="AO39" s="95"/>
      <c r="AP39" s="93"/>
      <c r="AQ39" s="94"/>
      <c r="AR39" s="187" t="str">
        <f>_xlfn.IFNA(VLOOKUP(AO39,'Bases - Cadastro'!$A$37:$B$62,2,0),"")</f>
        <v/>
      </c>
      <c r="AS39" s="97"/>
      <c r="AT39" s="98"/>
      <c r="AU39" s="92"/>
      <c r="AV39" s="93"/>
      <c r="AW39" s="93"/>
      <c r="AX39" s="93"/>
      <c r="AY39" s="93"/>
      <c r="AZ39" s="93"/>
      <c r="BA39" s="94"/>
    </row>
    <row r="40" spans="2:57" ht="14.1" customHeight="1" x14ac:dyDescent="0.25">
      <c r="B40" s="190"/>
      <c r="C40" s="93"/>
      <c r="D40" s="93"/>
      <c r="E40" s="93"/>
      <c r="F40" s="94"/>
      <c r="G40" s="185"/>
      <c r="H40" s="97"/>
      <c r="I40" s="97"/>
      <c r="J40" s="97"/>
      <c r="K40" s="98"/>
      <c r="L40" s="185" t="str">
        <f>IF(G40="","",VLOOKUP($AN$5,'Bases - Cadastro'!A:C,3,0))</f>
        <v/>
      </c>
      <c r="M40" s="97"/>
      <c r="N40" s="97"/>
      <c r="O40" s="97"/>
      <c r="P40" s="98"/>
      <c r="Q40" s="194"/>
      <c r="R40" s="93"/>
      <c r="S40" s="93"/>
      <c r="T40" s="94"/>
      <c r="U40" s="95"/>
      <c r="V40" s="93"/>
      <c r="W40" s="93"/>
      <c r="X40" s="93"/>
      <c r="Y40" s="93"/>
      <c r="Z40" s="94"/>
      <c r="AA40" s="95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4"/>
      <c r="AO40" s="95"/>
      <c r="AP40" s="93"/>
      <c r="AQ40" s="94"/>
      <c r="AR40" s="187" t="str">
        <f>_xlfn.IFNA(VLOOKUP(AO40,'Bases - Cadastro'!$A$37:$B$62,2,0),"")</f>
        <v/>
      </c>
      <c r="AS40" s="97"/>
      <c r="AT40" s="98"/>
      <c r="AU40" s="92"/>
      <c r="AV40" s="93"/>
      <c r="AW40" s="93"/>
      <c r="AX40" s="93"/>
      <c r="AY40" s="93"/>
      <c r="AZ40" s="93"/>
      <c r="BA40" s="94"/>
    </row>
    <row r="41" spans="2:57" ht="14.1" customHeight="1" x14ac:dyDescent="0.25">
      <c r="B41" s="190"/>
      <c r="C41" s="93"/>
      <c r="D41" s="93"/>
      <c r="E41" s="93"/>
      <c r="F41" s="94"/>
      <c r="G41" s="185"/>
      <c r="H41" s="97"/>
      <c r="I41" s="97"/>
      <c r="J41" s="97"/>
      <c r="K41" s="98"/>
      <c r="L41" s="185" t="str">
        <f>IF(G41="","",VLOOKUP($AN$5,'Bases - Cadastro'!A:C,3,0))</f>
        <v/>
      </c>
      <c r="M41" s="97"/>
      <c r="N41" s="97"/>
      <c r="O41" s="97"/>
      <c r="P41" s="98"/>
      <c r="Q41" s="194"/>
      <c r="R41" s="93"/>
      <c r="S41" s="93"/>
      <c r="T41" s="94"/>
      <c r="U41" s="95"/>
      <c r="V41" s="93"/>
      <c r="W41" s="93"/>
      <c r="X41" s="93"/>
      <c r="Y41" s="93"/>
      <c r="Z41" s="94"/>
      <c r="AA41" s="95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4"/>
      <c r="AO41" s="95"/>
      <c r="AP41" s="93"/>
      <c r="AQ41" s="94"/>
      <c r="AR41" s="187" t="str">
        <f>_xlfn.IFNA(VLOOKUP(AO41,'Bases - Cadastro'!$A$37:$B$62,2,0),"")</f>
        <v/>
      </c>
      <c r="AS41" s="97"/>
      <c r="AT41" s="98"/>
      <c r="AU41" s="92"/>
      <c r="AV41" s="93"/>
      <c r="AW41" s="93"/>
      <c r="AX41" s="93"/>
      <c r="AY41" s="93"/>
      <c r="AZ41" s="93"/>
      <c r="BA41" s="94"/>
      <c r="BE41" s="35"/>
    </row>
    <row r="42" spans="2:57" ht="14.1" customHeight="1" x14ac:dyDescent="0.25">
      <c r="B42" s="190"/>
      <c r="C42" s="93"/>
      <c r="D42" s="93"/>
      <c r="E42" s="93"/>
      <c r="F42" s="94"/>
      <c r="G42" s="185"/>
      <c r="H42" s="97"/>
      <c r="I42" s="97"/>
      <c r="J42" s="97"/>
      <c r="K42" s="98"/>
      <c r="L42" s="185" t="str">
        <f>IF(G42="","",VLOOKUP($AN$5,'Bases - Cadastro'!A:C,3,0))</f>
        <v/>
      </c>
      <c r="M42" s="97"/>
      <c r="N42" s="97"/>
      <c r="O42" s="97"/>
      <c r="P42" s="98"/>
      <c r="Q42" s="194"/>
      <c r="R42" s="93"/>
      <c r="S42" s="93"/>
      <c r="T42" s="94"/>
      <c r="U42" s="95"/>
      <c r="V42" s="93"/>
      <c r="W42" s="93"/>
      <c r="X42" s="93"/>
      <c r="Y42" s="93"/>
      <c r="Z42" s="94"/>
      <c r="AA42" s="95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4"/>
      <c r="AO42" s="95"/>
      <c r="AP42" s="93"/>
      <c r="AQ42" s="94"/>
      <c r="AR42" s="187" t="str">
        <f>_xlfn.IFNA(VLOOKUP(AO42,'Bases - Cadastro'!$A$37:$B$62,2,0),"")</f>
        <v/>
      </c>
      <c r="AS42" s="97"/>
      <c r="AT42" s="98"/>
      <c r="AU42" s="92"/>
      <c r="AV42" s="93"/>
      <c r="AW42" s="93"/>
      <c r="AX42" s="93"/>
      <c r="AY42" s="93"/>
      <c r="AZ42" s="93"/>
      <c r="BA42" s="94"/>
    </row>
    <row r="43" spans="2:57" ht="14.1" customHeight="1" x14ac:dyDescent="0.25">
      <c r="B43" s="190"/>
      <c r="C43" s="93"/>
      <c r="D43" s="93"/>
      <c r="E43" s="93"/>
      <c r="F43" s="94"/>
      <c r="G43" s="185"/>
      <c r="H43" s="97"/>
      <c r="I43" s="97"/>
      <c r="J43" s="97"/>
      <c r="K43" s="98"/>
      <c r="L43" s="185" t="str">
        <f>IF(G43="","",VLOOKUP($AN$5,'Bases - Cadastro'!A:C,3,0))</f>
        <v/>
      </c>
      <c r="M43" s="97"/>
      <c r="N43" s="97"/>
      <c r="O43" s="97"/>
      <c r="P43" s="98"/>
      <c r="Q43" s="194"/>
      <c r="R43" s="93"/>
      <c r="S43" s="93"/>
      <c r="T43" s="94"/>
      <c r="U43" s="95"/>
      <c r="V43" s="93"/>
      <c r="W43" s="93"/>
      <c r="X43" s="93"/>
      <c r="Y43" s="93"/>
      <c r="Z43" s="94"/>
      <c r="AA43" s="95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4"/>
      <c r="AO43" s="95"/>
      <c r="AP43" s="93"/>
      <c r="AQ43" s="94"/>
      <c r="AR43" s="187" t="str">
        <f>_xlfn.IFNA(VLOOKUP(AO43,'Bases - Cadastro'!$A$37:$B$62,2,0),"")</f>
        <v/>
      </c>
      <c r="AS43" s="97"/>
      <c r="AT43" s="98"/>
      <c r="AU43" s="92"/>
      <c r="AV43" s="93"/>
      <c r="AW43" s="93"/>
      <c r="AX43" s="93"/>
      <c r="AY43" s="93"/>
      <c r="AZ43" s="93"/>
      <c r="BA43" s="94"/>
    </row>
    <row r="44" spans="2:57" ht="14.1" customHeight="1" x14ac:dyDescent="0.25">
      <c r="B44" s="190"/>
      <c r="C44" s="93"/>
      <c r="D44" s="93"/>
      <c r="E44" s="93"/>
      <c r="F44" s="94"/>
      <c r="G44" s="185"/>
      <c r="H44" s="97"/>
      <c r="I44" s="97"/>
      <c r="J44" s="97"/>
      <c r="K44" s="98"/>
      <c r="L44" s="185" t="str">
        <f>IF(G44="","",VLOOKUP($AN$5,'Bases - Cadastro'!A:C,3,0))</f>
        <v/>
      </c>
      <c r="M44" s="97"/>
      <c r="N44" s="97"/>
      <c r="O44" s="97"/>
      <c r="P44" s="98"/>
      <c r="Q44" s="194"/>
      <c r="R44" s="93"/>
      <c r="S44" s="93"/>
      <c r="T44" s="94"/>
      <c r="U44" s="95"/>
      <c r="V44" s="93"/>
      <c r="W44" s="93"/>
      <c r="X44" s="93"/>
      <c r="Y44" s="93"/>
      <c r="Z44" s="94"/>
      <c r="AA44" s="95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4"/>
      <c r="AO44" s="95"/>
      <c r="AP44" s="93"/>
      <c r="AQ44" s="94"/>
      <c r="AR44" s="187" t="str">
        <f>_xlfn.IFNA(VLOOKUP(AO44,'Bases - Cadastro'!$A$37:$B$62,2,0),"")</f>
        <v/>
      </c>
      <c r="AS44" s="97"/>
      <c r="AT44" s="98"/>
      <c r="AU44" s="92"/>
      <c r="AV44" s="93"/>
      <c r="AW44" s="93"/>
      <c r="AX44" s="93"/>
      <c r="AY44" s="93"/>
      <c r="AZ44" s="93"/>
      <c r="BA44" s="94"/>
    </row>
    <row r="45" spans="2:57" ht="14.1" customHeight="1" x14ac:dyDescent="0.25">
      <c r="B45" s="190"/>
      <c r="C45" s="93"/>
      <c r="D45" s="93"/>
      <c r="E45" s="93"/>
      <c r="F45" s="94"/>
      <c r="G45" s="185"/>
      <c r="H45" s="97"/>
      <c r="I45" s="97"/>
      <c r="J45" s="97"/>
      <c r="K45" s="98"/>
      <c r="L45" s="185" t="str">
        <f>IF(G45="","",VLOOKUP($AN$5,'Bases - Cadastro'!A:C,3,0))</f>
        <v/>
      </c>
      <c r="M45" s="97"/>
      <c r="N45" s="97"/>
      <c r="O45" s="97"/>
      <c r="P45" s="98"/>
      <c r="Q45" s="194"/>
      <c r="R45" s="93"/>
      <c r="S45" s="93"/>
      <c r="T45" s="94"/>
      <c r="U45" s="95"/>
      <c r="V45" s="93"/>
      <c r="W45" s="93"/>
      <c r="X45" s="93"/>
      <c r="Y45" s="93"/>
      <c r="Z45" s="94"/>
      <c r="AA45" s="95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4"/>
      <c r="AO45" s="95"/>
      <c r="AP45" s="93"/>
      <c r="AQ45" s="94"/>
      <c r="AR45" s="187" t="str">
        <f>_xlfn.IFNA(VLOOKUP(AO45,'Bases - Cadastro'!$A$37:$B$62,2,0),"")</f>
        <v/>
      </c>
      <c r="AS45" s="97"/>
      <c r="AT45" s="98"/>
      <c r="AU45" s="92"/>
      <c r="AV45" s="93"/>
      <c r="AW45" s="93"/>
      <c r="AX45" s="93"/>
      <c r="AY45" s="93"/>
      <c r="AZ45" s="93"/>
      <c r="BA45" s="94"/>
    </row>
    <row r="46" spans="2:57" ht="14.1" customHeight="1" x14ac:dyDescent="0.25">
      <c r="B46" s="190"/>
      <c r="C46" s="93"/>
      <c r="D46" s="93"/>
      <c r="E46" s="93"/>
      <c r="F46" s="94"/>
      <c r="G46" s="185"/>
      <c r="H46" s="97"/>
      <c r="I46" s="97"/>
      <c r="J46" s="97"/>
      <c r="K46" s="98"/>
      <c r="L46" s="185" t="str">
        <f>IF(G46="","",VLOOKUP($AN$5,'Bases - Cadastro'!A:C,3,0))</f>
        <v/>
      </c>
      <c r="M46" s="97"/>
      <c r="N46" s="97"/>
      <c r="O46" s="97"/>
      <c r="P46" s="98"/>
      <c r="Q46" s="194"/>
      <c r="R46" s="93"/>
      <c r="S46" s="93"/>
      <c r="T46" s="94"/>
      <c r="U46" s="95"/>
      <c r="V46" s="93"/>
      <c r="W46" s="93"/>
      <c r="X46" s="93"/>
      <c r="Y46" s="93"/>
      <c r="Z46" s="94"/>
      <c r="AA46" s="95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4"/>
      <c r="AO46" s="95"/>
      <c r="AP46" s="93"/>
      <c r="AQ46" s="94"/>
      <c r="AR46" s="187" t="str">
        <f>_xlfn.IFNA(VLOOKUP(AO46,'Bases - Cadastro'!$A$37:$B$62,2,0),"")</f>
        <v/>
      </c>
      <c r="AS46" s="97"/>
      <c r="AT46" s="98"/>
      <c r="AU46" s="92"/>
      <c r="AV46" s="93"/>
      <c r="AW46" s="93"/>
      <c r="AX46" s="93"/>
      <c r="AY46" s="93"/>
      <c r="AZ46" s="93"/>
      <c r="BA46" s="94"/>
    </row>
    <row r="47" spans="2:57" ht="14.1" customHeight="1" x14ac:dyDescent="0.25">
      <c r="B47" s="190"/>
      <c r="C47" s="93"/>
      <c r="D47" s="93"/>
      <c r="E47" s="93"/>
      <c r="F47" s="94"/>
      <c r="G47" s="185"/>
      <c r="H47" s="97"/>
      <c r="I47" s="97"/>
      <c r="J47" s="97"/>
      <c r="K47" s="98"/>
      <c r="L47" s="185" t="str">
        <f>IF(G47="","",VLOOKUP($AN$5,'Bases - Cadastro'!A:C,3,0))</f>
        <v/>
      </c>
      <c r="M47" s="97"/>
      <c r="N47" s="97"/>
      <c r="O47" s="97"/>
      <c r="P47" s="98"/>
      <c r="Q47" s="194"/>
      <c r="R47" s="93"/>
      <c r="S47" s="93"/>
      <c r="T47" s="94"/>
      <c r="U47" s="95"/>
      <c r="V47" s="93"/>
      <c r="W47" s="93"/>
      <c r="X47" s="93"/>
      <c r="Y47" s="93"/>
      <c r="Z47" s="94"/>
      <c r="AA47" s="95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4"/>
      <c r="AO47" s="95"/>
      <c r="AP47" s="93"/>
      <c r="AQ47" s="94"/>
      <c r="AR47" s="187" t="str">
        <f>_xlfn.IFNA(VLOOKUP(AO47,'Bases - Cadastro'!$A$37:$B$62,2,0),"")</f>
        <v/>
      </c>
      <c r="AS47" s="97"/>
      <c r="AT47" s="98"/>
      <c r="AU47" s="92"/>
      <c r="AV47" s="93"/>
      <c r="AW47" s="93"/>
      <c r="AX47" s="93"/>
      <c r="AY47" s="93"/>
      <c r="AZ47" s="93"/>
      <c r="BA47" s="94"/>
    </row>
    <row r="48" spans="2:57" ht="14.1" customHeight="1" x14ac:dyDescent="0.25">
      <c r="B48" s="190"/>
      <c r="C48" s="93"/>
      <c r="D48" s="93"/>
      <c r="E48" s="93"/>
      <c r="F48" s="94"/>
      <c r="G48" s="185"/>
      <c r="H48" s="97"/>
      <c r="I48" s="97"/>
      <c r="J48" s="97"/>
      <c r="K48" s="98"/>
      <c r="L48" s="185" t="str">
        <f>IF(G48="","",VLOOKUP($AN$5,'Bases - Cadastro'!A:C,3,0))</f>
        <v/>
      </c>
      <c r="M48" s="97"/>
      <c r="N48" s="97"/>
      <c r="O48" s="97"/>
      <c r="P48" s="98"/>
      <c r="Q48" s="194"/>
      <c r="R48" s="93"/>
      <c r="S48" s="93"/>
      <c r="T48" s="94"/>
      <c r="U48" s="95"/>
      <c r="V48" s="93"/>
      <c r="W48" s="93"/>
      <c r="X48" s="93"/>
      <c r="Y48" s="93"/>
      <c r="Z48" s="94"/>
      <c r="AA48" s="95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4"/>
      <c r="AO48" s="95"/>
      <c r="AP48" s="93"/>
      <c r="AQ48" s="94"/>
      <c r="AR48" s="187" t="str">
        <f>_xlfn.IFNA(VLOOKUP(AO48,'Bases - Cadastro'!$A$37:$B$62,2,0),"")</f>
        <v/>
      </c>
      <c r="AS48" s="97"/>
      <c r="AT48" s="98"/>
      <c r="AU48" s="92"/>
      <c r="AV48" s="93"/>
      <c r="AW48" s="93"/>
      <c r="AX48" s="93"/>
      <c r="AY48" s="93"/>
      <c r="AZ48" s="93"/>
      <c r="BA48" s="94"/>
    </row>
    <row r="49" spans="2:53" ht="14.1" customHeight="1" x14ac:dyDescent="0.25">
      <c r="B49" s="190"/>
      <c r="C49" s="93"/>
      <c r="D49" s="93"/>
      <c r="E49" s="93"/>
      <c r="F49" s="94"/>
      <c r="G49" s="185"/>
      <c r="H49" s="97"/>
      <c r="I49" s="97"/>
      <c r="J49" s="97"/>
      <c r="K49" s="98"/>
      <c r="L49" s="185" t="str">
        <f>IF(G49="","",VLOOKUP($AN$5,'Bases - Cadastro'!A:C,3,0))</f>
        <v/>
      </c>
      <c r="M49" s="97"/>
      <c r="N49" s="97"/>
      <c r="O49" s="97"/>
      <c r="P49" s="98"/>
      <c r="Q49" s="194"/>
      <c r="R49" s="93"/>
      <c r="S49" s="93"/>
      <c r="T49" s="94"/>
      <c r="U49" s="95"/>
      <c r="V49" s="93"/>
      <c r="W49" s="93"/>
      <c r="X49" s="93"/>
      <c r="Y49" s="93"/>
      <c r="Z49" s="94"/>
      <c r="AA49" s="95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4"/>
      <c r="AO49" s="95"/>
      <c r="AP49" s="93"/>
      <c r="AQ49" s="94"/>
      <c r="AR49" s="187" t="str">
        <f>_xlfn.IFNA(VLOOKUP(AO49,'Bases - Cadastro'!$A$37:$B$62,2,0),"")</f>
        <v/>
      </c>
      <c r="AS49" s="97"/>
      <c r="AT49" s="98"/>
      <c r="AU49" s="92"/>
      <c r="AV49" s="93"/>
      <c r="AW49" s="93"/>
      <c r="AX49" s="93"/>
      <c r="AY49" s="93"/>
      <c r="AZ49" s="93"/>
      <c r="BA49" s="94"/>
    </row>
    <row r="50" spans="2:53" ht="14.1" customHeight="1" x14ac:dyDescent="0.25">
      <c r="B50" s="190"/>
      <c r="C50" s="93"/>
      <c r="D50" s="93"/>
      <c r="E50" s="93"/>
      <c r="F50" s="94"/>
      <c r="G50" s="185"/>
      <c r="H50" s="97"/>
      <c r="I50" s="97"/>
      <c r="J50" s="97"/>
      <c r="K50" s="98"/>
      <c r="L50" s="185" t="str">
        <f>IF(G50="","",VLOOKUP($AN$5,'Bases - Cadastro'!A:C,3,0))</f>
        <v/>
      </c>
      <c r="M50" s="97"/>
      <c r="N50" s="97"/>
      <c r="O50" s="97"/>
      <c r="P50" s="98"/>
      <c r="Q50" s="194"/>
      <c r="R50" s="93"/>
      <c r="S50" s="93"/>
      <c r="T50" s="94"/>
      <c r="U50" s="95"/>
      <c r="V50" s="93"/>
      <c r="W50" s="93"/>
      <c r="X50" s="93"/>
      <c r="Y50" s="93"/>
      <c r="Z50" s="94"/>
      <c r="AA50" s="95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4"/>
      <c r="AO50" s="95"/>
      <c r="AP50" s="93"/>
      <c r="AQ50" s="94"/>
      <c r="AR50" s="187" t="str">
        <f>_xlfn.IFNA(VLOOKUP(AO50,'Bases - Cadastro'!$A$37:$B$62,2,0),"")</f>
        <v/>
      </c>
      <c r="AS50" s="97"/>
      <c r="AT50" s="98"/>
      <c r="AU50" s="92"/>
      <c r="AV50" s="93"/>
      <c r="AW50" s="93"/>
      <c r="AX50" s="93"/>
      <c r="AY50" s="93"/>
      <c r="AZ50" s="93"/>
      <c r="BA50" s="94"/>
    </row>
    <row r="51" spans="2:53" ht="14.1" customHeight="1" x14ac:dyDescent="0.25">
      <c r="B51" s="190"/>
      <c r="C51" s="93"/>
      <c r="D51" s="93"/>
      <c r="E51" s="93"/>
      <c r="F51" s="94"/>
      <c r="G51" s="185"/>
      <c r="H51" s="97"/>
      <c r="I51" s="97"/>
      <c r="J51" s="97"/>
      <c r="K51" s="98"/>
      <c r="L51" s="185" t="str">
        <f>IF(G51="","",VLOOKUP($AN$5,'Bases - Cadastro'!A:C,3,0))</f>
        <v/>
      </c>
      <c r="M51" s="97"/>
      <c r="N51" s="97"/>
      <c r="O51" s="97"/>
      <c r="P51" s="98"/>
      <c r="Q51" s="194"/>
      <c r="R51" s="93"/>
      <c r="S51" s="93"/>
      <c r="T51" s="94"/>
      <c r="U51" s="95"/>
      <c r="V51" s="93"/>
      <c r="W51" s="93"/>
      <c r="X51" s="93"/>
      <c r="Y51" s="93"/>
      <c r="Z51" s="94"/>
      <c r="AA51" s="95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4"/>
      <c r="AO51" s="95"/>
      <c r="AP51" s="93"/>
      <c r="AQ51" s="94"/>
      <c r="AR51" s="187" t="str">
        <f>_xlfn.IFNA(VLOOKUP(AO51,'Bases - Cadastro'!$A$37:$B$62,2,0),"")</f>
        <v/>
      </c>
      <c r="AS51" s="97"/>
      <c r="AT51" s="98"/>
      <c r="AU51" s="92"/>
      <c r="AV51" s="93"/>
      <c r="AW51" s="93"/>
      <c r="AX51" s="93"/>
      <c r="AY51" s="93"/>
      <c r="AZ51" s="93"/>
      <c r="BA51" s="94"/>
    </row>
    <row r="52" spans="2:53" ht="14.1" customHeight="1" x14ac:dyDescent="0.25">
      <c r="B52" s="190"/>
      <c r="C52" s="93"/>
      <c r="D52" s="93"/>
      <c r="E52" s="93"/>
      <c r="F52" s="94"/>
      <c r="G52" s="185"/>
      <c r="H52" s="97"/>
      <c r="I52" s="97"/>
      <c r="J52" s="97"/>
      <c r="K52" s="98"/>
      <c r="L52" s="185" t="str">
        <f>IF(G52="","",VLOOKUP($AN$5,'Bases - Cadastro'!A:C,3,0))</f>
        <v/>
      </c>
      <c r="M52" s="97"/>
      <c r="N52" s="97"/>
      <c r="O52" s="97"/>
      <c r="P52" s="98"/>
      <c r="Q52" s="194"/>
      <c r="R52" s="93"/>
      <c r="S52" s="93"/>
      <c r="T52" s="94"/>
      <c r="U52" s="95"/>
      <c r="V52" s="93"/>
      <c r="W52" s="93"/>
      <c r="X52" s="93"/>
      <c r="Y52" s="93"/>
      <c r="Z52" s="94"/>
      <c r="AA52" s="95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4"/>
      <c r="AO52" s="95"/>
      <c r="AP52" s="93"/>
      <c r="AQ52" s="94"/>
      <c r="AR52" s="187" t="str">
        <f>_xlfn.IFNA(VLOOKUP(AO52,'Bases - Cadastro'!$A$37:$B$62,2,0),"")</f>
        <v/>
      </c>
      <c r="AS52" s="97"/>
      <c r="AT52" s="98"/>
      <c r="AU52" s="92"/>
      <c r="AV52" s="93"/>
      <c r="AW52" s="93"/>
      <c r="AX52" s="93"/>
      <c r="AY52" s="93"/>
      <c r="AZ52" s="93"/>
      <c r="BA52" s="94"/>
    </row>
    <row r="53" spans="2:53" ht="14.1" customHeight="1" x14ac:dyDescent="0.25">
      <c r="B53" s="190"/>
      <c r="C53" s="93"/>
      <c r="D53" s="93"/>
      <c r="E53" s="93"/>
      <c r="F53" s="94"/>
      <c r="G53" s="185"/>
      <c r="H53" s="97"/>
      <c r="I53" s="97"/>
      <c r="J53" s="97"/>
      <c r="K53" s="98"/>
      <c r="L53" s="185" t="str">
        <f>IF(G53="","",VLOOKUP($AN$5,'Bases - Cadastro'!A:C,3,0))</f>
        <v/>
      </c>
      <c r="M53" s="97"/>
      <c r="N53" s="97"/>
      <c r="O53" s="97"/>
      <c r="P53" s="98"/>
      <c r="Q53" s="194"/>
      <c r="R53" s="93"/>
      <c r="S53" s="93"/>
      <c r="T53" s="94"/>
      <c r="U53" s="95"/>
      <c r="V53" s="93"/>
      <c r="W53" s="93"/>
      <c r="X53" s="93"/>
      <c r="Y53" s="93"/>
      <c r="Z53" s="94"/>
      <c r="AA53" s="95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4"/>
      <c r="AO53" s="95"/>
      <c r="AP53" s="93"/>
      <c r="AQ53" s="94"/>
      <c r="AR53" s="187" t="str">
        <f>_xlfn.IFNA(VLOOKUP(AO53,'Bases - Cadastro'!$A$37:$B$62,2,0),"")</f>
        <v/>
      </c>
      <c r="AS53" s="97"/>
      <c r="AT53" s="98"/>
      <c r="AU53" s="92"/>
      <c r="AV53" s="93"/>
      <c r="AW53" s="93"/>
      <c r="AX53" s="93"/>
      <c r="AY53" s="93"/>
      <c r="AZ53" s="93"/>
      <c r="BA53" s="94"/>
    </row>
    <row r="54" spans="2:53" ht="14.1" customHeight="1" x14ac:dyDescent="0.25">
      <c r="B54" s="190"/>
      <c r="C54" s="93"/>
      <c r="D54" s="93"/>
      <c r="E54" s="93"/>
      <c r="F54" s="94"/>
      <c r="G54" s="185"/>
      <c r="H54" s="97"/>
      <c r="I54" s="97"/>
      <c r="J54" s="97"/>
      <c r="K54" s="98"/>
      <c r="L54" s="185" t="str">
        <f>IF(G54="","",VLOOKUP($AN$5,'Bases - Cadastro'!A:C,3,0))</f>
        <v/>
      </c>
      <c r="M54" s="97"/>
      <c r="N54" s="97"/>
      <c r="O54" s="97"/>
      <c r="P54" s="98"/>
      <c r="Q54" s="194"/>
      <c r="R54" s="93"/>
      <c r="S54" s="93"/>
      <c r="T54" s="94"/>
      <c r="U54" s="95"/>
      <c r="V54" s="93"/>
      <c r="W54" s="93"/>
      <c r="X54" s="93"/>
      <c r="Y54" s="93"/>
      <c r="Z54" s="94"/>
      <c r="AA54" s="95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4"/>
      <c r="AO54" s="95"/>
      <c r="AP54" s="93"/>
      <c r="AQ54" s="94"/>
      <c r="AR54" s="187" t="str">
        <f>_xlfn.IFNA(VLOOKUP(AO54,'Bases - Cadastro'!$A$37:$B$62,2,0),"")</f>
        <v/>
      </c>
      <c r="AS54" s="97"/>
      <c r="AT54" s="98"/>
      <c r="AU54" s="92"/>
      <c r="AV54" s="93"/>
      <c r="AW54" s="93"/>
      <c r="AX54" s="93"/>
      <c r="AY54" s="93"/>
      <c r="AZ54" s="93"/>
      <c r="BA54" s="94"/>
    </row>
    <row r="55" spans="2:53" ht="14.1" customHeight="1" x14ac:dyDescent="0.25">
      <c r="B55" s="190"/>
      <c r="C55" s="93"/>
      <c r="D55" s="93"/>
      <c r="E55" s="93"/>
      <c r="F55" s="94"/>
      <c r="G55" s="185"/>
      <c r="H55" s="97"/>
      <c r="I55" s="97"/>
      <c r="J55" s="97"/>
      <c r="K55" s="98"/>
      <c r="L55" s="185" t="str">
        <f>IF(G55="","",VLOOKUP($AN$5,'Bases - Cadastro'!A:C,3,0))</f>
        <v/>
      </c>
      <c r="M55" s="97"/>
      <c r="N55" s="97"/>
      <c r="O55" s="97"/>
      <c r="P55" s="98"/>
      <c r="Q55" s="194"/>
      <c r="R55" s="93"/>
      <c r="S55" s="93"/>
      <c r="T55" s="94"/>
      <c r="U55" s="95"/>
      <c r="V55" s="93"/>
      <c r="W55" s="93"/>
      <c r="X55" s="93"/>
      <c r="Y55" s="93"/>
      <c r="Z55" s="94"/>
      <c r="AA55" s="95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4"/>
      <c r="AO55" s="95"/>
      <c r="AP55" s="93"/>
      <c r="AQ55" s="94"/>
      <c r="AR55" s="187" t="str">
        <f>_xlfn.IFNA(VLOOKUP(AO55,'Bases - Cadastro'!$A$37:$B$62,2,0),"")</f>
        <v/>
      </c>
      <c r="AS55" s="97"/>
      <c r="AT55" s="98"/>
      <c r="AU55" s="92"/>
      <c r="AV55" s="93"/>
      <c r="AW55" s="93"/>
      <c r="AX55" s="93"/>
      <c r="AY55" s="93"/>
      <c r="AZ55" s="93"/>
      <c r="BA55" s="94"/>
    </row>
    <row r="56" spans="2:53" ht="14.1" customHeight="1" x14ac:dyDescent="0.25">
      <c r="B56" s="190"/>
      <c r="C56" s="93"/>
      <c r="D56" s="93"/>
      <c r="E56" s="93"/>
      <c r="F56" s="94"/>
      <c r="G56" s="185"/>
      <c r="H56" s="97"/>
      <c r="I56" s="97"/>
      <c r="J56" s="97"/>
      <c r="K56" s="98"/>
      <c r="L56" s="185" t="str">
        <f>IF(G56="","",VLOOKUP($AN$5,'Bases - Cadastro'!A:C,3,0))</f>
        <v/>
      </c>
      <c r="M56" s="97"/>
      <c r="N56" s="97"/>
      <c r="O56" s="97"/>
      <c r="P56" s="98"/>
      <c r="Q56" s="194"/>
      <c r="R56" s="93"/>
      <c r="S56" s="93"/>
      <c r="T56" s="94"/>
      <c r="U56" s="95"/>
      <c r="V56" s="93"/>
      <c r="W56" s="93"/>
      <c r="X56" s="93"/>
      <c r="Y56" s="93"/>
      <c r="Z56" s="94"/>
      <c r="AA56" s="95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4"/>
      <c r="AO56" s="95"/>
      <c r="AP56" s="93"/>
      <c r="AQ56" s="94"/>
      <c r="AR56" s="187" t="str">
        <f>_xlfn.IFNA(VLOOKUP(AO56,'Bases - Cadastro'!$A$37:$B$62,2,0),"")</f>
        <v/>
      </c>
      <c r="AS56" s="97"/>
      <c r="AT56" s="98"/>
      <c r="AU56" s="92"/>
      <c r="AV56" s="93"/>
      <c r="AW56" s="93"/>
      <c r="AX56" s="93"/>
      <c r="AY56" s="93"/>
      <c r="AZ56" s="93"/>
      <c r="BA56" s="94"/>
    </row>
    <row r="57" spans="2:53" ht="14.1" customHeight="1" x14ac:dyDescent="0.25">
      <c r="B57" s="190"/>
      <c r="C57" s="93"/>
      <c r="D57" s="93"/>
      <c r="E57" s="93"/>
      <c r="F57" s="94"/>
      <c r="G57" s="185"/>
      <c r="H57" s="97"/>
      <c r="I57" s="97"/>
      <c r="J57" s="97"/>
      <c r="K57" s="98"/>
      <c r="L57" s="185" t="str">
        <f>IF(G57="","",VLOOKUP($AN$5,'Bases - Cadastro'!A:C,3,0))</f>
        <v/>
      </c>
      <c r="M57" s="97"/>
      <c r="N57" s="97"/>
      <c r="O57" s="97"/>
      <c r="P57" s="98"/>
      <c r="Q57" s="194"/>
      <c r="R57" s="93"/>
      <c r="S57" s="93"/>
      <c r="T57" s="94"/>
      <c r="U57" s="95"/>
      <c r="V57" s="93"/>
      <c r="W57" s="93"/>
      <c r="X57" s="93"/>
      <c r="Y57" s="93"/>
      <c r="Z57" s="94"/>
      <c r="AA57" s="95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4"/>
      <c r="AO57" s="95"/>
      <c r="AP57" s="93"/>
      <c r="AQ57" s="94"/>
      <c r="AR57" s="187" t="str">
        <f>_xlfn.IFNA(VLOOKUP(AO57,'Bases - Cadastro'!$A$37:$B$62,2,0),"")</f>
        <v/>
      </c>
      <c r="AS57" s="97"/>
      <c r="AT57" s="98"/>
      <c r="AU57" s="92"/>
      <c r="AV57" s="93"/>
      <c r="AW57" s="93"/>
      <c r="AX57" s="93"/>
      <c r="AY57" s="93"/>
      <c r="AZ57" s="93"/>
      <c r="BA57" s="94"/>
    </row>
    <row r="58" spans="2:53" ht="14.1" customHeight="1" x14ac:dyDescent="0.25">
      <c r="B58" s="190"/>
      <c r="C58" s="93"/>
      <c r="D58" s="93"/>
      <c r="E58" s="93"/>
      <c r="F58" s="94"/>
      <c r="G58" s="185"/>
      <c r="H58" s="97"/>
      <c r="I58" s="97"/>
      <c r="J58" s="97"/>
      <c r="K58" s="98"/>
      <c r="L58" s="185" t="str">
        <f>IF(G58="","",VLOOKUP($AN$5,'Bases - Cadastro'!A:C,3,0))</f>
        <v/>
      </c>
      <c r="M58" s="97"/>
      <c r="N58" s="97"/>
      <c r="O58" s="97"/>
      <c r="P58" s="98"/>
      <c r="Q58" s="194"/>
      <c r="R58" s="93"/>
      <c r="S58" s="93"/>
      <c r="T58" s="94"/>
      <c r="U58" s="95"/>
      <c r="V58" s="93"/>
      <c r="W58" s="93"/>
      <c r="X58" s="93"/>
      <c r="Y58" s="93"/>
      <c r="Z58" s="94"/>
      <c r="AA58" s="95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4"/>
      <c r="AO58" s="95"/>
      <c r="AP58" s="93"/>
      <c r="AQ58" s="94"/>
      <c r="AR58" s="187" t="str">
        <f>_xlfn.IFNA(VLOOKUP(AO58,'Bases - Cadastro'!$A$37:$B$62,2,0),"")</f>
        <v/>
      </c>
      <c r="AS58" s="97"/>
      <c r="AT58" s="98"/>
      <c r="AU58" s="184"/>
      <c r="AV58" s="93"/>
      <c r="AW58" s="93"/>
      <c r="AX58" s="93"/>
      <c r="AY58" s="93"/>
      <c r="AZ58" s="93"/>
      <c r="BA58" s="94"/>
    </row>
    <row r="59" spans="2:53" ht="14.1" customHeight="1" x14ac:dyDescent="0.25">
      <c r="B59" s="190"/>
      <c r="C59" s="93"/>
      <c r="D59" s="93"/>
      <c r="E59" s="93"/>
      <c r="F59" s="94"/>
      <c r="G59" s="185"/>
      <c r="H59" s="97"/>
      <c r="I59" s="97"/>
      <c r="J59" s="97"/>
      <c r="K59" s="98"/>
      <c r="L59" s="185" t="str">
        <f>IF(G59="","",VLOOKUP($AN$5,'Bases - Cadastro'!A:C,3,0))</f>
        <v/>
      </c>
      <c r="M59" s="97"/>
      <c r="N59" s="97"/>
      <c r="O59" s="97"/>
      <c r="P59" s="98"/>
      <c r="Q59" s="194"/>
      <c r="R59" s="93"/>
      <c r="S59" s="93"/>
      <c r="T59" s="94"/>
      <c r="U59" s="95"/>
      <c r="V59" s="93"/>
      <c r="W59" s="93"/>
      <c r="X59" s="93"/>
      <c r="Y59" s="93"/>
      <c r="Z59" s="94"/>
      <c r="AA59" s="95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4"/>
      <c r="AO59" s="95"/>
      <c r="AP59" s="93"/>
      <c r="AQ59" s="94"/>
      <c r="AR59" s="187" t="str">
        <f>_xlfn.IFNA(VLOOKUP(AO59,'Bases - Cadastro'!$A$37:$B$62,2,0),"")</f>
        <v/>
      </c>
      <c r="AS59" s="97"/>
      <c r="AT59" s="98"/>
      <c r="AU59" s="184"/>
      <c r="AV59" s="93"/>
      <c r="AW59" s="93"/>
      <c r="AX59" s="93"/>
      <c r="AY59" s="93"/>
      <c r="AZ59" s="93"/>
      <c r="BA59" s="94"/>
    </row>
    <row r="60" spans="2:53" ht="14.1" customHeight="1" x14ac:dyDescent="0.25">
      <c r="B60" s="190"/>
      <c r="C60" s="93"/>
      <c r="D60" s="93"/>
      <c r="E60" s="93"/>
      <c r="F60" s="94"/>
      <c r="G60" s="185"/>
      <c r="H60" s="97"/>
      <c r="I60" s="97"/>
      <c r="J60" s="97"/>
      <c r="K60" s="98"/>
      <c r="L60" s="185" t="str">
        <f>IF(G60="","",VLOOKUP($AN$5,'Bases - Cadastro'!A:C,3,0))</f>
        <v/>
      </c>
      <c r="M60" s="97"/>
      <c r="N60" s="97"/>
      <c r="O60" s="97"/>
      <c r="P60" s="98"/>
      <c r="Q60" s="194"/>
      <c r="R60" s="93"/>
      <c r="S60" s="93"/>
      <c r="T60" s="94"/>
      <c r="U60" s="95"/>
      <c r="V60" s="93"/>
      <c r="W60" s="93"/>
      <c r="X60" s="93"/>
      <c r="Y60" s="93"/>
      <c r="Z60" s="94"/>
      <c r="AA60" s="95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4"/>
      <c r="AO60" s="95"/>
      <c r="AP60" s="93"/>
      <c r="AQ60" s="94"/>
      <c r="AR60" s="187" t="str">
        <f>_xlfn.IFNA(VLOOKUP(AO60,'Bases - Cadastro'!$A$37:$B$62,2,0),"")</f>
        <v/>
      </c>
      <c r="AS60" s="97"/>
      <c r="AT60" s="98"/>
      <c r="AU60" s="184"/>
      <c r="AV60" s="93"/>
      <c r="AW60" s="93"/>
      <c r="AX60" s="93"/>
      <c r="AY60" s="93"/>
      <c r="AZ60" s="93"/>
      <c r="BA60" s="94"/>
    </row>
    <row r="61" spans="2:53" ht="14.1" customHeight="1" x14ac:dyDescent="0.25">
      <c r="B61" s="190"/>
      <c r="C61" s="93"/>
      <c r="D61" s="93"/>
      <c r="E61" s="93"/>
      <c r="F61" s="94"/>
      <c r="G61" s="185"/>
      <c r="H61" s="97"/>
      <c r="I61" s="97"/>
      <c r="J61" s="97"/>
      <c r="K61" s="98"/>
      <c r="L61" s="185" t="str">
        <f>IF(G61="","",VLOOKUP($AN$5,'Bases - Cadastro'!A:C,3,0))</f>
        <v/>
      </c>
      <c r="M61" s="97"/>
      <c r="N61" s="97"/>
      <c r="O61" s="97"/>
      <c r="P61" s="98"/>
      <c r="Q61" s="194"/>
      <c r="R61" s="93"/>
      <c r="S61" s="93"/>
      <c r="T61" s="94"/>
      <c r="U61" s="95"/>
      <c r="V61" s="93"/>
      <c r="W61" s="93"/>
      <c r="X61" s="93"/>
      <c r="Y61" s="93"/>
      <c r="Z61" s="94"/>
      <c r="AA61" s="95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4"/>
      <c r="AO61" s="95"/>
      <c r="AP61" s="93"/>
      <c r="AQ61" s="94"/>
      <c r="AR61" s="187" t="str">
        <f>_xlfn.IFNA(VLOOKUP(AO61,'Bases - Cadastro'!$A$37:$B$62,2,0),"")</f>
        <v/>
      </c>
      <c r="AS61" s="97"/>
      <c r="AT61" s="98"/>
      <c r="AU61" s="184"/>
      <c r="AV61" s="93"/>
      <c r="AW61" s="93"/>
      <c r="AX61" s="93"/>
      <c r="AY61" s="93"/>
      <c r="AZ61" s="93"/>
      <c r="BA61" s="94"/>
    </row>
    <row r="62" spans="2:53" ht="14.1" customHeight="1" x14ac:dyDescent="0.25">
      <c r="B62" s="190"/>
      <c r="C62" s="93"/>
      <c r="D62" s="93"/>
      <c r="E62" s="93"/>
      <c r="F62" s="94"/>
      <c r="G62" s="185"/>
      <c r="H62" s="97"/>
      <c r="I62" s="97"/>
      <c r="J62" s="97"/>
      <c r="K62" s="98"/>
      <c r="L62" s="185" t="str">
        <f>IF(G62="","",VLOOKUP($AN$5,'Bases - Cadastro'!A:C,3,0))</f>
        <v/>
      </c>
      <c r="M62" s="97"/>
      <c r="N62" s="97"/>
      <c r="O62" s="97"/>
      <c r="P62" s="98"/>
      <c r="Q62" s="194"/>
      <c r="R62" s="93"/>
      <c r="S62" s="93"/>
      <c r="T62" s="94"/>
      <c r="U62" s="95"/>
      <c r="V62" s="93"/>
      <c r="W62" s="93"/>
      <c r="X62" s="93"/>
      <c r="Y62" s="93"/>
      <c r="Z62" s="94"/>
      <c r="AA62" s="95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4"/>
      <c r="AO62" s="95"/>
      <c r="AP62" s="93"/>
      <c r="AQ62" s="94"/>
      <c r="AR62" s="187" t="str">
        <f>_xlfn.IFNA(VLOOKUP(AO62,'Bases - Cadastro'!$A$37:$B$62,2,0),"")</f>
        <v/>
      </c>
      <c r="AS62" s="97"/>
      <c r="AT62" s="98"/>
      <c r="AU62" s="184"/>
      <c r="AV62" s="93"/>
      <c r="AW62" s="93"/>
      <c r="AX62" s="93"/>
      <c r="AY62" s="93"/>
      <c r="AZ62" s="93"/>
      <c r="BA62" s="94"/>
    </row>
    <row r="63" spans="2:53" ht="13.95" customHeight="1" x14ac:dyDescent="0.25">
      <c r="B63" s="190"/>
      <c r="C63" s="93"/>
      <c r="D63" s="93"/>
      <c r="E63" s="93"/>
      <c r="F63" s="94"/>
      <c r="G63" s="185"/>
      <c r="H63" s="97"/>
      <c r="I63" s="97"/>
      <c r="J63" s="97"/>
      <c r="K63" s="98"/>
      <c r="L63" s="185" t="str">
        <f>IF(G63="","",VLOOKUP($AN$5,'Bases - Cadastro'!A:C,3,0))</f>
        <v/>
      </c>
      <c r="M63" s="97"/>
      <c r="N63" s="97"/>
      <c r="O63" s="97"/>
      <c r="P63" s="98"/>
      <c r="Q63" s="194"/>
      <c r="R63" s="93"/>
      <c r="S63" s="93"/>
      <c r="T63" s="94"/>
      <c r="U63" s="95"/>
      <c r="V63" s="93"/>
      <c r="W63" s="93"/>
      <c r="X63" s="93"/>
      <c r="Y63" s="93"/>
      <c r="Z63" s="94"/>
      <c r="AA63" s="95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4"/>
      <c r="AO63" s="95"/>
      <c r="AP63" s="93"/>
      <c r="AQ63" s="94"/>
      <c r="AR63" s="187" t="str">
        <f>_xlfn.IFNA(VLOOKUP(AO63,'Bases - Cadastro'!$A$37:$B$62,2,0),"")</f>
        <v/>
      </c>
      <c r="AS63" s="97"/>
      <c r="AT63" s="98"/>
      <c r="AU63" s="184"/>
      <c r="AV63" s="93"/>
      <c r="AW63" s="93"/>
      <c r="AX63" s="93"/>
      <c r="AY63" s="93"/>
      <c r="AZ63" s="93"/>
      <c r="BA63" s="94"/>
    </row>
    <row r="64" spans="2:53" ht="13.95" customHeight="1" x14ac:dyDescent="0.25">
      <c r="B64" s="190"/>
      <c r="C64" s="93"/>
      <c r="D64" s="93"/>
      <c r="E64" s="93"/>
      <c r="F64" s="94"/>
      <c r="G64" s="185"/>
      <c r="H64" s="97"/>
      <c r="I64" s="97"/>
      <c r="J64" s="97"/>
      <c r="K64" s="98"/>
      <c r="L64" s="185" t="str">
        <f>IF(G64="","",VLOOKUP($AN$5,'Bases - Cadastro'!A:C,3,0))</f>
        <v/>
      </c>
      <c r="M64" s="97"/>
      <c r="N64" s="97"/>
      <c r="O64" s="97"/>
      <c r="P64" s="98"/>
      <c r="Q64" s="194"/>
      <c r="R64" s="93"/>
      <c r="S64" s="93"/>
      <c r="T64" s="94"/>
      <c r="U64" s="95"/>
      <c r="V64" s="93"/>
      <c r="W64" s="93"/>
      <c r="X64" s="93"/>
      <c r="Y64" s="93"/>
      <c r="Z64" s="94"/>
      <c r="AA64" s="95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4"/>
      <c r="AO64" s="95"/>
      <c r="AP64" s="93"/>
      <c r="AQ64" s="94"/>
      <c r="AR64" s="187" t="str">
        <f>_xlfn.IFNA(VLOOKUP(AO64,'Bases - Cadastro'!$A$37:$B$62,2,0),"")</f>
        <v/>
      </c>
      <c r="AS64" s="97"/>
      <c r="AT64" s="98"/>
      <c r="AU64" s="196"/>
      <c r="AV64" s="93"/>
      <c r="AW64" s="93"/>
      <c r="AX64" s="93"/>
      <c r="AY64" s="93"/>
      <c r="AZ64" s="93"/>
      <c r="BA64" s="94"/>
    </row>
    <row r="65" spans="2:57" ht="13.95" customHeight="1" x14ac:dyDescent="0.25">
      <c r="B65" s="190"/>
      <c r="C65" s="93"/>
      <c r="D65" s="93"/>
      <c r="E65" s="93"/>
      <c r="F65" s="94"/>
      <c r="G65" s="185"/>
      <c r="H65" s="97"/>
      <c r="I65" s="97"/>
      <c r="J65" s="97"/>
      <c r="K65" s="98"/>
      <c r="L65" s="185" t="str">
        <f>IF(G65="","",VLOOKUP($AN$5,'Bases - Cadastro'!A:C,3,0))</f>
        <v/>
      </c>
      <c r="M65" s="97"/>
      <c r="N65" s="97"/>
      <c r="O65" s="97"/>
      <c r="P65" s="98"/>
      <c r="Q65" s="194"/>
      <c r="R65" s="93"/>
      <c r="S65" s="93"/>
      <c r="T65" s="94"/>
      <c r="U65" s="95"/>
      <c r="V65" s="93"/>
      <c r="W65" s="93"/>
      <c r="X65" s="93"/>
      <c r="Y65" s="93"/>
      <c r="Z65" s="94"/>
      <c r="AA65" s="95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4"/>
      <c r="AO65" s="95"/>
      <c r="AP65" s="93"/>
      <c r="AQ65" s="94"/>
      <c r="AR65" s="187" t="str">
        <f>_xlfn.IFNA(VLOOKUP(AO65,'Bases - Cadastro'!$A$37:$B$62,2,0),"")</f>
        <v/>
      </c>
      <c r="AS65" s="97"/>
      <c r="AT65" s="98"/>
      <c r="AU65" s="196"/>
      <c r="AV65" s="93"/>
      <c r="AW65" s="93"/>
      <c r="AX65" s="93"/>
      <c r="AY65" s="93"/>
      <c r="AZ65" s="93"/>
      <c r="BA65" s="94"/>
    </row>
    <row r="66" spans="2:57" ht="13.95" customHeight="1" x14ac:dyDescent="0.25">
      <c r="B66" s="190"/>
      <c r="C66" s="93"/>
      <c r="D66" s="93"/>
      <c r="E66" s="93"/>
      <c r="F66" s="94"/>
      <c r="G66" s="185"/>
      <c r="H66" s="97"/>
      <c r="I66" s="97"/>
      <c r="J66" s="97"/>
      <c r="K66" s="98"/>
      <c r="L66" s="185" t="str">
        <f>IF(G66="","",VLOOKUP($AN$5,'Bases - Cadastro'!A:C,3,0))</f>
        <v/>
      </c>
      <c r="M66" s="97"/>
      <c r="N66" s="97"/>
      <c r="O66" s="97"/>
      <c r="P66" s="98"/>
      <c r="Q66" s="194"/>
      <c r="R66" s="93"/>
      <c r="S66" s="93"/>
      <c r="T66" s="94"/>
      <c r="U66" s="95"/>
      <c r="V66" s="93"/>
      <c r="W66" s="93"/>
      <c r="X66" s="93"/>
      <c r="Y66" s="93"/>
      <c r="Z66" s="94"/>
      <c r="AA66" s="95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4"/>
      <c r="AO66" s="95"/>
      <c r="AP66" s="93"/>
      <c r="AQ66" s="94"/>
      <c r="AR66" s="187" t="str">
        <f>_xlfn.IFNA(VLOOKUP(AO66,'Bases - Cadastro'!$A$37:$B$62,2,0),"")</f>
        <v/>
      </c>
      <c r="AS66" s="97"/>
      <c r="AT66" s="98"/>
      <c r="AU66" s="196"/>
      <c r="AV66" s="93"/>
      <c r="AW66" s="93"/>
      <c r="AX66" s="93"/>
      <c r="AY66" s="93"/>
      <c r="AZ66" s="93"/>
      <c r="BA66" s="94"/>
    </row>
    <row r="67" spans="2:57" ht="13.5" customHeight="1" x14ac:dyDescent="0.25">
      <c r="B67" s="203" t="s">
        <v>43</v>
      </c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8"/>
      <c r="AU67" s="140">
        <f>SUM(AU29:BA66)</f>
        <v>1384.31</v>
      </c>
      <c r="AV67" s="97"/>
      <c r="AW67" s="97"/>
      <c r="AX67" s="97"/>
      <c r="AY67" s="97"/>
      <c r="AZ67" s="97"/>
      <c r="BA67" s="98"/>
      <c r="BE67" s="71"/>
    </row>
    <row r="68" spans="2:57" ht="11.25" customHeight="1" thickBot="1" x14ac:dyDescent="0.3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AE68" s="16"/>
      <c r="AF68" s="36"/>
      <c r="AG68" s="3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37"/>
      <c r="AU68" s="37"/>
      <c r="AV68" s="37"/>
      <c r="AW68" s="37"/>
      <c r="AX68" s="37"/>
      <c r="AY68" s="37"/>
      <c r="AZ68" s="37"/>
      <c r="BA68" s="37"/>
    </row>
    <row r="69" spans="2:57" ht="14.25" customHeight="1" thickBot="1" x14ac:dyDescent="0.3">
      <c r="B69" s="16"/>
      <c r="C69" s="89" t="s">
        <v>44</v>
      </c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1"/>
      <c r="S69" s="21"/>
      <c r="T69" s="21"/>
      <c r="U69" s="89" t="s">
        <v>45</v>
      </c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1"/>
      <c r="AH69" s="38"/>
    </row>
    <row r="70" spans="2:57" ht="14.25" customHeight="1" thickBot="1" x14ac:dyDescent="0.3">
      <c r="B70" s="16"/>
      <c r="C70" s="89" t="s">
        <v>32</v>
      </c>
      <c r="D70" s="90"/>
      <c r="E70" s="90"/>
      <c r="F70" s="90"/>
      <c r="G70" s="91"/>
      <c r="H70" s="89" t="s">
        <v>47</v>
      </c>
      <c r="I70" s="90"/>
      <c r="J70" s="90"/>
      <c r="K70" s="90"/>
      <c r="L70" s="90"/>
      <c r="M70" s="90"/>
      <c r="N70" s="90"/>
      <c r="O70" s="90"/>
      <c r="P70" s="90"/>
      <c r="Q70" s="90"/>
      <c r="R70" s="91"/>
      <c r="S70" s="21"/>
      <c r="T70" s="21"/>
      <c r="U70" s="89" t="s">
        <v>32</v>
      </c>
      <c r="V70" s="91"/>
      <c r="W70" s="89" t="s">
        <v>47</v>
      </c>
      <c r="X70" s="90"/>
      <c r="Y70" s="90"/>
      <c r="Z70" s="90"/>
      <c r="AA70" s="90"/>
      <c r="AB70" s="90"/>
      <c r="AC70" s="90"/>
      <c r="AD70" s="90"/>
      <c r="AE70" s="90"/>
      <c r="AF70" s="90"/>
      <c r="AG70" s="91"/>
      <c r="AH70" s="38"/>
    </row>
    <row r="71" spans="2:57" ht="45" customHeight="1" thickBot="1" x14ac:dyDescent="0.3">
      <c r="B71" s="16"/>
      <c r="C71" s="191"/>
      <c r="D71" s="90"/>
      <c r="E71" s="90"/>
      <c r="F71" s="90"/>
      <c r="G71" s="91"/>
      <c r="H71" s="123"/>
      <c r="I71" s="117"/>
      <c r="J71" s="117"/>
      <c r="K71" s="117"/>
      <c r="L71" s="117"/>
      <c r="M71" s="117"/>
      <c r="N71" s="117"/>
      <c r="O71" s="117"/>
      <c r="P71" s="117"/>
      <c r="Q71" s="117"/>
      <c r="R71" s="118"/>
      <c r="S71" s="16"/>
      <c r="T71" s="16"/>
      <c r="U71" s="122"/>
      <c r="V71" s="118"/>
      <c r="W71" s="123"/>
      <c r="X71" s="117"/>
      <c r="Y71" s="117"/>
      <c r="Z71" s="117"/>
      <c r="AA71" s="117"/>
      <c r="AB71" s="117"/>
      <c r="AC71" s="117"/>
      <c r="AD71" s="117"/>
      <c r="AE71" s="117"/>
      <c r="AF71" s="117"/>
      <c r="AG71" s="118"/>
      <c r="AH71" s="38"/>
    </row>
    <row r="72" spans="2:57" ht="16.5" customHeight="1" x14ac:dyDescent="0.25">
      <c r="B72" s="16"/>
      <c r="C72" s="16"/>
      <c r="D72" s="1"/>
      <c r="E72" s="1"/>
      <c r="F72" s="1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</row>
    <row r="73" spans="2:57" ht="15" customHeight="1" x14ac:dyDescent="0.25">
      <c r="B73" s="39"/>
      <c r="C73" s="40"/>
      <c r="D73" s="41" t="s">
        <v>48</v>
      </c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1" t="s">
        <v>661</v>
      </c>
      <c r="Q73" s="40"/>
      <c r="R73" s="40"/>
      <c r="S73" s="40"/>
      <c r="T73" s="40"/>
      <c r="U73" s="42"/>
      <c r="V73" s="197">
        <f>SUM(V74:Z85)</f>
        <v>0</v>
      </c>
      <c r="W73" s="97"/>
      <c r="X73" s="97"/>
      <c r="Y73" s="97"/>
      <c r="Z73" s="98"/>
      <c r="AA73" s="43"/>
      <c r="AB73" s="43"/>
      <c r="AC73" s="43"/>
      <c r="AD73" s="180" t="s">
        <v>46</v>
      </c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7"/>
      <c r="BA73" s="98"/>
    </row>
    <row r="74" spans="2:57" ht="12" customHeight="1" x14ac:dyDescent="0.25">
      <c r="B74" s="136">
        <v>1</v>
      </c>
      <c r="C74" s="126"/>
      <c r="D74" s="193" t="str">
        <f>'Bases - Cadastro'!A38</f>
        <v>PR50050001 -  Material uso e consumo PROADI SUS</v>
      </c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1"/>
      <c r="P74" s="188" t="str">
        <f>'Bases - Cadastro'!D38</f>
        <v>263020 Reembolso de Material de Uso e Consumo PROADI SUS</v>
      </c>
      <c r="Q74" s="100"/>
      <c r="R74" s="100"/>
      <c r="S74" s="100"/>
      <c r="T74" s="100"/>
      <c r="U74" s="101"/>
      <c r="V74" s="201">
        <f t="shared" ref="V74:V85" si="0">SUMIF($AR$29:$AT$66,P74,$AU$29:$BA$66)</f>
        <v>0</v>
      </c>
      <c r="W74" s="125"/>
      <c r="X74" s="125"/>
      <c r="Y74" s="125"/>
      <c r="Z74" s="126"/>
      <c r="AA74" s="44"/>
      <c r="AB74" s="44"/>
      <c r="AC74" s="44"/>
      <c r="AD74" s="205"/>
      <c r="AE74" s="130"/>
      <c r="AF74" s="130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6"/>
    </row>
    <row r="75" spans="2:57" ht="12" customHeight="1" x14ac:dyDescent="0.25">
      <c r="B75" s="128">
        <v>2</v>
      </c>
      <c r="C75" s="101"/>
      <c r="D75" s="193" t="str">
        <f>'Bases - Cadastro'!A39</f>
        <v>PR50060002 -  Refeições e Lanches PROADI SUS</v>
      </c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1"/>
      <c r="P75" s="188" t="str">
        <f>'Bases - Cadastro'!D39</f>
        <v>263018 Reembolso de Refeições e Lanches PROADI SUS</v>
      </c>
      <c r="Q75" s="100"/>
      <c r="R75" s="100"/>
      <c r="S75" s="100"/>
      <c r="T75" s="100"/>
      <c r="U75" s="101"/>
      <c r="V75" s="186">
        <f t="shared" si="0"/>
        <v>0</v>
      </c>
      <c r="W75" s="100"/>
      <c r="X75" s="100"/>
      <c r="Y75" s="100"/>
      <c r="Z75" s="101"/>
      <c r="AA75" s="47"/>
      <c r="AB75" s="47"/>
      <c r="AC75" s="47"/>
      <c r="AD75" s="206"/>
      <c r="AE75" s="103"/>
      <c r="AF75" s="103"/>
      <c r="AG75" s="204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3"/>
      <c r="AS75" s="103"/>
      <c r="AT75" s="103"/>
      <c r="AU75" s="103"/>
      <c r="AV75" s="103"/>
      <c r="AW75" s="48"/>
      <c r="AX75" s="48"/>
      <c r="AY75" s="48"/>
      <c r="AZ75" s="48"/>
      <c r="BA75" s="49"/>
    </row>
    <row r="76" spans="2:57" ht="12" customHeight="1" x14ac:dyDescent="0.25">
      <c r="B76" s="128">
        <v>3</v>
      </c>
      <c r="C76" s="101"/>
      <c r="D76" s="193" t="str">
        <f>'Bases - Cadastro'!A40</f>
        <v>PR50060003 -  Condução e Transporte PROADI SUS</v>
      </c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1"/>
      <c r="P76" s="188" t="str">
        <f>'Bases - Cadastro'!D40</f>
        <v>263962 Reembolso de Condução e Transporte PROADI SUS</v>
      </c>
      <c r="Q76" s="100"/>
      <c r="R76" s="100"/>
      <c r="S76" s="100"/>
      <c r="T76" s="100"/>
      <c r="U76" s="101"/>
      <c r="V76" s="186">
        <f t="shared" si="0"/>
        <v>0</v>
      </c>
      <c r="W76" s="100"/>
      <c r="X76" s="100"/>
      <c r="Y76" s="100"/>
      <c r="Z76" s="101"/>
      <c r="AA76" s="47"/>
      <c r="AB76" s="47"/>
      <c r="AC76" s="47"/>
      <c r="AD76" s="206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48"/>
      <c r="AX76" s="48"/>
      <c r="AY76" s="48"/>
      <c r="AZ76" s="48"/>
      <c r="BA76" s="49"/>
    </row>
    <row r="77" spans="2:57" ht="12" customHeight="1" x14ac:dyDescent="0.25">
      <c r="B77" s="128">
        <v>4</v>
      </c>
      <c r="C77" s="101"/>
      <c r="D77" s="193" t="str">
        <f>'Bases - Cadastro'!A41</f>
        <v>PR50060004 -  Passagens Aereas PROADI SUS</v>
      </c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1"/>
      <c r="P77" s="188" t="str">
        <f>'Bases - Cadastro'!D41</f>
        <v>263021 Reembolso de Passagem Aérea PROADI SUS</v>
      </c>
      <c r="Q77" s="100"/>
      <c r="R77" s="100"/>
      <c r="S77" s="100"/>
      <c r="T77" s="100"/>
      <c r="U77" s="101"/>
      <c r="V77" s="186">
        <f t="shared" si="0"/>
        <v>0</v>
      </c>
      <c r="W77" s="100"/>
      <c r="X77" s="100"/>
      <c r="Y77" s="100"/>
      <c r="Z77" s="101"/>
      <c r="AA77" s="47"/>
      <c r="AB77" s="47"/>
      <c r="AC77" s="47"/>
      <c r="AD77" s="50"/>
      <c r="AE77" s="48"/>
      <c r="AF77" s="48"/>
      <c r="AG77" s="207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  <c r="AT77" s="103"/>
      <c r="AU77" s="103"/>
      <c r="AV77" s="103"/>
      <c r="AW77" s="48"/>
      <c r="AX77" s="48"/>
      <c r="AY77" s="48"/>
      <c r="AZ77" s="48"/>
      <c r="BA77" s="49"/>
    </row>
    <row r="78" spans="2:57" ht="12" customHeight="1" x14ac:dyDescent="0.25">
      <c r="B78" s="128">
        <v>5</v>
      </c>
      <c r="C78" s="101"/>
      <c r="D78" s="193" t="str">
        <f>'Bases - Cadastro'!A42</f>
        <v>PR50060005 -  Hospedagem PROADI SUS</v>
      </c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1"/>
      <c r="P78" s="188" t="str">
        <f>'Bases - Cadastro'!D42</f>
        <v>263022 Reembolso de Hospedagem PROADI SUS</v>
      </c>
      <c r="Q78" s="100"/>
      <c r="R78" s="100"/>
      <c r="S78" s="100"/>
      <c r="T78" s="100"/>
      <c r="U78" s="101"/>
      <c r="V78" s="186">
        <f t="shared" si="0"/>
        <v>0</v>
      </c>
      <c r="W78" s="100"/>
      <c r="X78" s="100"/>
      <c r="Y78" s="100"/>
      <c r="Z78" s="101"/>
      <c r="AA78" s="47"/>
      <c r="AB78" s="47"/>
      <c r="AC78" s="47"/>
      <c r="AD78" s="50"/>
      <c r="AE78" s="48"/>
      <c r="AF78" s="48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48"/>
      <c r="AX78" s="48"/>
      <c r="AY78" s="48"/>
      <c r="AZ78" s="48"/>
      <c r="BA78" s="49"/>
    </row>
    <row r="79" spans="2:57" ht="12" customHeight="1" x14ac:dyDescent="0.25">
      <c r="B79" s="128">
        <v>6</v>
      </c>
      <c r="C79" s="101"/>
      <c r="D79" s="193" t="str">
        <f>'Bases - Cadastro'!A43</f>
        <v>PR50060006 -  Taxas de Viagens, Eventos e Congressos PROADI SUS</v>
      </c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1"/>
      <c r="P79" s="188" t="str">
        <f>'Bases - Cadastro'!D43</f>
        <v>263023 Reembolso de Inscrições de Eventos PROADI SUS</v>
      </c>
      <c r="Q79" s="100"/>
      <c r="R79" s="100"/>
      <c r="S79" s="100"/>
      <c r="T79" s="100"/>
      <c r="U79" s="101"/>
      <c r="V79" s="186">
        <f t="shared" si="0"/>
        <v>0</v>
      </c>
      <c r="W79" s="100"/>
      <c r="X79" s="100"/>
      <c r="Y79" s="100"/>
      <c r="Z79" s="101"/>
      <c r="AA79" s="47"/>
      <c r="AB79" s="47"/>
      <c r="AC79" s="47"/>
      <c r="AD79" s="50"/>
      <c r="AE79" s="48"/>
      <c r="AF79" s="48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48"/>
      <c r="AX79" s="48"/>
      <c r="AY79" s="48"/>
      <c r="AZ79" s="48"/>
      <c r="BA79" s="49"/>
    </row>
    <row r="80" spans="2:57" ht="12" customHeight="1" x14ac:dyDescent="0.25">
      <c r="B80" s="128">
        <v>7</v>
      </c>
      <c r="C80" s="101"/>
      <c r="D80" s="193" t="str">
        <f>'Bases - Cadastro'!A44</f>
        <v>PR50090003 -  Custas de cartório PROADI SUS</v>
      </c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1"/>
      <c r="P80" s="188" t="str">
        <f>'Bases - Cadastro'!D44</f>
        <v>263017 Reembolso de Cartório PROADI SUS</v>
      </c>
      <c r="Q80" s="100"/>
      <c r="R80" s="100"/>
      <c r="S80" s="100"/>
      <c r="T80" s="100"/>
      <c r="U80" s="101"/>
      <c r="V80" s="186">
        <f t="shared" si="0"/>
        <v>0</v>
      </c>
      <c r="W80" s="100"/>
      <c r="X80" s="100"/>
      <c r="Y80" s="100"/>
      <c r="Z80" s="101"/>
      <c r="AA80" s="47"/>
      <c r="AB80" s="47"/>
      <c r="AC80" s="47"/>
      <c r="AD80" s="50"/>
      <c r="AE80" s="48"/>
      <c r="AF80" s="48"/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3"/>
      <c r="AW80" s="48"/>
      <c r="AX80" s="48"/>
      <c r="AY80" s="48"/>
      <c r="AZ80" s="48"/>
      <c r="BA80" s="49"/>
    </row>
    <row r="81" spans="2:53" ht="12" customHeight="1" x14ac:dyDescent="0.25">
      <c r="B81" s="128">
        <v>8</v>
      </c>
      <c r="C81" s="101"/>
      <c r="D81" s="193" t="str">
        <f>'Bases - Cadastro'!A45</f>
        <v>PR50090005 -  Correios e Malotes PROADI SUS</v>
      </c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1"/>
      <c r="P81" s="188" t="str">
        <f>'Bases - Cadastro'!D45</f>
        <v>263016 Reembolso de Correios PROADI SUS</v>
      </c>
      <c r="Q81" s="100"/>
      <c r="R81" s="100"/>
      <c r="S81" s="100"/>
      <c r="T81" s="100"/>
      <c r="U81" s="101"/>
      <c r="V81" s="186">
        <f t="shared" si="0"/>
        <v>0</v>
      </c>
      <c r="W81" s="100"/>
      <c r="X81" s="100"/>
      <c r="Y81" s="100"/>
      <c r="Z81" s="101"/>
      <c r="AA81" s="47"/>
      <c r="AB81" s="47"/>
      <c r="AC81" s="47"/>
      <c r="AD81" s="50"/>
      <c r="AE81" s="48"/>
      <c r="AF81" s="48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48"/>
      <c r="AX81" s="48"/>
      <c r="AY81" s="48"/>
      <c r="AZ81" s="48"/>
      <c r="BA81" s="49"/>
    </row>
    <row r="82" spans="2:53" ht="12" customHeight="1" x14ac:dyDescent="0.25">
      <c r="B82" s="128">
        <v>9</v>
      </c>
      <c r="C82" s="101"/>
      <c r="D82" s="193" t="str">
        <f>'Bases - Cadastro'!A46</f>
        <v>PR50090011 -  Revelações, Cópias, Impressões e Gráfica PROADI SUS</v>
      </c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1"/>
      <c r="P82" s="188" t="str">
        <f>'Bases - Cadastro'!D46</f>
        <v>263019 Reembolso de Revelações, Cópias e Gráfica PROADI SUS</v>
      </c>
      <c r="Q82" s="100"/>
      <c r="R82" s="100"/>
      <c r="S82" s="100"/>
      <c r="T82" s="100"/>
      <c r="U82" s="101"/>
      <c r="V82" s="186">
        <f t="shared" si="0"/>
        <v>0</v>
      </c>
      <c r="W82" s="100"/>
      <c r="X82" s="100"/>
      <c r="Y82" s="100"/>
      <c r="Z82" s="101"/>
      <c r="AA82" s="47"/>
      <c r="AB82" s="47"/>
      <c r="AC82" s="47"/>
      <c r="AD82" s="50"/>
      <c r="AE82" s="48"/>
      <c r="AF82" s="48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  <c r="AR82" s="103"/>
      <c r="AS82" s="103"/>
      <c r="AT82" s="103"/>
      <c r="AU82" s="103"/>
      <c r="AV82" s="103"/>
      <c r="AW82" s="48"/>
      <c r="AX82" s="48"/>
      <c r="AY82" s="48"/>
      <c r="AZ82" s="48"/>
      <c r="BA82" s="49"/>
    </row>
    <row r="83" spans="2:53" ht="12" customHeight="1" x14ac:dyDescent="0.25">
      <c r="B83" s="128">
        <v>10</v>
      </c>
      <c r="C83" s="101"/>
      <c r="D83" s="193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1"/>
      <c r="P83" s="188"/>
      <c r="Q83" s="100"/>
      <c r="R83" s="100"/>
      <c r="S83" s="100"/>
      <c r="T83" s="100"/>
      <c r="U83" s="101"/>
      <c r="V83" s="186">
        <f t="shared" si="0"/>
        <v>0</v>
      </c>
      <c r="W83" s="100"/>
      <c r="X83" s="100"/>
      <c r="Y83" s="100"/>
      <c r="Z83" s="101"/>
      <c r="AA83" s="47"/>
      <c r="AB83" s="47"/>
      <c r="AC83" s="47"/>
      <c r="AD83" s="50"/>
      <c r="AE83" s="48"/>
      <c r="AF83" s="48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  <c r="AR83" s="103"/>
      <c r="AS83" s="103"/>
      <c r="AT83" s="103"/>
      <c r="AU83" s="103"/>
      <c r="AV83" s="103"/>
      <c r="AW83" s="48"/>
      <c r="AX83" s="48"/>
      <c r="AY83" s="48"/>
      <c r="AZ83" s="48"/>
      <c r="BA83" s="49"/>
    </row>
    <row r="84" spans="2:53" ht="12" customHeight="1" x14ac:dyDescent="0.25">
      <c r="B84" s="128">
        <v>11</v>
      </c>
      <c r="C84" s="101"/>
      <c r="D84" s="193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1"/>
      <c r="P84" s="188"/>
      <c r="Q84" s="100"/>
      <c r="R84" s="100"/>
      <c r="S84" s="100"/>
      <c r="T84" s="100"/>
      <c r="U84" s="101"/>
      <c r="V84" s="186">
        <f t="shared" si="0"/>
        <v>0</v>
      </c>
      <c r="W84" s="100"/>
      <c r="X84" s="100"/>
      <c r="Y84" s="100"/>
      <c r="Z84" s="101"/>
      <c r="AA84" s="47"/>
      <c r="AB84" s="47"/>
      <c r="AC84" s="47"/>
      <c r="AD84" s="50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9"/>
    </row>
    <row r="85" spans="2:53" ht="12" customHeight="1" x14ac:dyDescent="0.25">
      <c r="B85" s="128">
        <v>12</v>
      </c>
      <c r="C85" s="101"/>
      <c r="D85" s="193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1"/>
      <c r="P85" s="188"/>
      <c r="Q85" s="100"/>
      <c r="R85" s="100"/>
      <c r="S85" s="100"/>
      <c r="T85" s="100"/>
      <c r="U85" s="101"/>
      <c r="V85" s="186">
        <f t="shared" si="0"/>
        <v>0</v>
      </c>
      <c r="W85" s="100"/>
      <c r="X85" s="100"/>
      <c r="Y85" s="100"/>
      <c r="Z85" s="101"/>
      <c r="AA85" s="47"/>
      <c r="AB85" s="47"/>
      <c r="AC85" s="47"/>
      <c r="AD85" s="51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3"/>
    </row>
  </sheetData>
  <mergeCells count="458">
    <mergeCell ref="V85:Z85"/>
    <mergeCell ref="B66:F66"/>
    <mergeCell ref="V82:Z82"/>
    <mergeCell ref="D78:O78"/>
    <mergeCell ref="U62:Z62"/>
    <mergeCell ref="Q22:Y22"/>
    <mergeCell ref="B15:AX15"/>
    <mergeCell ref="G57:K57"/>
    <mergeCell ref="B61:F61"/>
    <mergeCell ref="L45:P45"/>
    <mergeCell ref="G49:K49"/>
    <mergeCell ref="U64:Z64"/>
    <mergeCell ref="AU38:BA38"/>
    <mergeCell ref="Q33:T33"/>
    <mergeCell ref="U51:Z51"/>
    <mergeCell ref="Q27:T28"/>
    <mergeCell ref="AR32:AT32"/>
    <mergeCell ref="L38:P38"/>
    <mergeCell ref="AA63:AN63"/>
    <mergeCell ref="AU40:BA40"/>
    <mergeCell ref="AN21:BA21"/>
    <mergeCell ref="AA22:AL22"/>
    <mergeCell ref="L40:P40"/>
    <mergeCell ref="B64:F64"/>
    <mergeCell ref="AU63:BA63"/>
    <mergeCell ref="P79:U79"/>
    <mergeCell ref="G29:K29"/>
    <mergeCell ref="B21:AL21"/>
    <mergeCell ref="AA50:AN50"/>
    <mergeCell ref="G44:K44"/>
    <mergeCell ref="AR52:AT52"/>
    <mergeCell ref="G31:K31"/>
    <mergeCell ref="H11:T11"/>
    <mergeCell ref="B75:C75"/>
    <mergeCell ref="W70:AG70"/>
    <mergeCell ref="AN23:BA23"/>
    <mergeCell ref="AR27:AT27"/>
    <mergeCell ref="B51:F51"/>
    <mergeCell ref="AO28:AQ28"/>
    <mergeCell ref="AU37:BA37"/>
    <mergeCell ref="U41:Z41"/>
    <mergeCell ref="B59:F59"/>
    <mergeCell ref="B46:F46"/>
    <mergeCell ref="AU47:BA47"/>
    <mergeCell ref="L37:P37"/>
    <mergeCell ref="U56:Z56"/>
    <mergeCell ref="AR49:AT49"/>
    <mergeCell ref="U43:Z43"/>
    <mergeCell ref="AO58:AQ58"/>
    <mergeCell ref="B48:F48"/>
    <mergeCell ref="AN9:AZ9"/>
    <mergeCell ref="Q62:T62"/>
    <mergeCell ref="B44:F44"/>
    <mergeCell ref="U55:Z55"/>
    <mergeCell ref="AU29:BA29"/>
    <mergeCell ref="U38:Z38"/>
    <mergeCell ref="B4:AX4"/>
    <mergeCell ref="G33:K33"/>
    <mergeCell ref="Q64:T64"/>
    <mergeCell ref="B37:F37"/>
    <mergeCell ref="AU44:BA44"/>
    <mergeCell ref="AA54:AN54"/>
    <mergeCell ref="AU31:BA31"/>
    <mergeCell ref="Q51:T51"/>
    <mergeCell ref="U40:Z40"/>
    <mergeCell ref="AA41:AN41"/>
    <mergeCell ref="G35:K35"/>
    <mergeCell ref="AA56:AN56"/>
    <mergeCell ref="AO57:AQ57"/>
    <mergeCell ref="AR34:AT34"/>
    <mergeCell ref="AA34:AN34"/>
    <mergeCell ref="AU42:BA42"/>
    <mergeCell ref="AR36:AT36"/>
    <mergeCell ref="AA36:AN36"/>
    <mergeCell ref="D81:O81"/>
    <mergeCell ref="B32:F32"/>
    <mergeCell ref="AB17:AE17"/>
    <mergeCell ref="D76:O76"/>
    <mergeCell ref="AR66:AT66"/>
    <mergeCell ref="AR63:AT63"/>
    <mergeCell ref="V76:Z76"/>
    <mergeCell ref="AO29:AQ29"/>
    <mergeCell ref="L43:P43"/>
    <mergeCell ref="AA30:AN30"/>
    <mergeCell ref="G38:K38"/>
    <mergeCell ref="B42:F42"/>
    <mergeCell ref="C69:R69"/>
    <mergeCell ref="V77:Z77"/>
    <mergeCell ref="AO31:AQ31"/>
    <mergeCell ref="AD75:AF75"/>
    <mergeCell ref="C71:G71"/>
    <mergeCell ref="U66:Z66"/>
    <mergeCell ref="G30:K30"/>
    <mergeCell ref="Q39:T39"/>
    <mergeCell ref="AA65:AN65"/>
    <mergeCell ref="AA31:AN31"/>
    <mergeCell ref="U59:Z59"/>
    <mergeCell ref="AO32:AQ32"/>
    <mergeCell ref="B1:BA2"/>
    <mergeCell ref="AA35:AN35"/>
    <mergeCell ref="B83:C83"/>
    <mergeCell ref="O9:T9"/>
    <mergeCell ref="B85:C85"/>
    <mergeCell ref="D84:O84"/>
    <mergeCell ref="AD73:BA73"/>
    <mergeCell ref="B36:F36"/>
    <mergeCell ref="Q59:T59"/>
    <mergeCell ref="AO65:AQ65"/>
    <mergeCell ref="Q46:T46"/>
    <mergeCell ref="Q61:T61"/>
    <mergeCell ref="Q48:T48"/>
    <mergeCell ref="AA38:AN38"/>
    <mergeCell ref="U37:Z37"/>
    <mergeCell ref="L66:P66"/>
    <mergeCell ref="L53:P53"/>
    <mergeCell ref="AU46:BA46"/>
    <mergeCell ref="Q41:T41"/>
    <mergeCell ref="B19:G19"/>
    <mergeCell ref="AR53:AT53"/>
    <mergeCell ref="AA40:AN40"/>
    <mergeCell ref="AO54:AQ54"/>
    <mergeCell ref="AU61:BA61"/>
    <mergeCell ref="B5:F5"/>
    <mergeCell ref="AR39:AT39"/>
    <mergeCell ref="AU55:BA55"/>
    <mergeCell ref="D80:O80"/>
    <mergeCell ref="AG77:AV83"/>
    <mergeCell ref="AO33:AQ33"/>
    <mergeCell ref="AA43:AN43"/>
    <mergeCell ref="AO35:AQ35"/>
    <mergeCell ref="AR65:AT65"/>
    <mergeCell ref="B23:O23"/>
    <mergeCell ref="B82:C82"/>
    <mergeCell ref="L55:P55"/>
    <mergeCell ref="AU48:BA48"/>
    <mergeCell ref="AR50:AT50"/>
    <mergeCell ref="G58:K58"/>
    <mergeCell ref="AR60:AT60"/>
    <mergeCell ref="Q56:T56"/>
    <mergeCell ref="AO41:AQ41"/>
    <mergeCell ref="Q43:T43"/>
    <mergeCell ref="AA33:AN33"/>
    <mergeCell ref="AR55:AT55"/>
    <mergeCell ref="AO56:AQ56"/>
    <mergeCell ref="AO34:AQ34"/>
    <mergeCell ref="AA57:AN57"/>
    <mergeCell ref="P83:U83"/>
    <mergeCell ref="AR31:AT31"/>
    <mergeCell ref="AA27:AN28"/>
    <mergeCell ref="Q63:T63"/>
    <mergeCell ref="P85:U85"/>
    <mergeCell ref="Q50:T50"/>
    <mergeCell ref="AR62:AT62"/>
    <mergeCell ref="P84:U84"/>
    <mergeCell ref="H71:R71"/>
    <mergeCell ref="P80:U80"/>
    <mergeCell ref="AR57:AT57"/>
    <mergeCell ref="L32:P32"/>
    <mergeCell ref="G36:K36"/>
    <mergeCell ref="L47:P47"/>
    <mergeCell ref="Q37:T37"/>
    <mergeCell ref="D83:O83"/>
    <mergeCell ref="AO64:AQ64"/>
    <mergeCell ref="AO51:AQ51"/>
    <mergeCell ref="L63:P63"/>
    <mergeCell ref="D85:O85"/>
    <mergeCell ref="Q55:T55"/>
    <mergeCell ref="L50:P50"/>
    <mergeCell ref="Q38:T38"/>
    <mergeCell ref="G64:K64"/>
    <mergeCell ref="P82:U82"/>
    <mergeCell ref="AR30:AT30"/>
    <mergeCell ref="P75:U75"/>
    <mergeCell ref="U58:Z58"/>
    <mergeCell ref="V84:Z84"/>
    <mergeCell ref="L30:P30"/>
    <mergeCell ref="H70:R70"/>
    <mergeCell ref="AR54:AT54"/>
    <mergeCell ref="L29:P29"/>
    <mergeCell ref="AR41:AT41"/>
    <mergeCell ref="L44:P44"/>
    <mergeCell ref="AR56:AT56"/>
    <mergeCell ref="L31:P31"/>
    <mergeCell ref="AR43:AT43"/>
    <mergeCell ref="Q44:T44"/>
    <mergeCell ref="AA47:AN47"/>
    <mergeCell ref="G59:K59"/>
    <mergeCell ref="U53:Z53"/>
    <mergeCell ref="L57:P57"/>
    <mergeCell ref="G61:K61"/>
    <mergeCell ref="D75:O75"/>
    <mergeCell ref="V79:Z79"/>
    <mergeCell ref="B58:F58"/>
    <mergeCell ref="B52:F52"/>
    <mergeCell ref="B3:AX3"/>
    <mergeCell ref="L41:P41"/>
    <mergeCell ref="G45:K45"/>
    <mergeCell ref="AU34:BA34"/>
    <mergeCell ref="U60:Z60"/>
    <mergeCell ref="AA66:AN66"/>
    <mergeCell ref="B65:F65"/>
    <mergeCell ref="W71:AG71"/>
    <mergeCell ref="L56:P56"/>
    <mergeCell ref="AU49:BA49"/>
    <mergeCell ref="G47:K47"/>
    <mergeCell ref="AU36:BA36"/>
    <mergeCell ref="U45:Z45"/>
    <mergeCell ref="B63:F63"/>
    <mergeCell ref="G46:K46"/>
    <mergeCell ref="B50:F50"/>
    <mergeCell ref="G40:K40"/>
    <mergeCell ref="AA61:AN61"/>
    <mergeCell ref="AA32:AN32"/>
    <mergeCell ref="AO62:AQ62"/>
    <mergeCell ref="AR28:AT28"/>
    <mergeCell ref="B55:F55"/>
    <mergeCell ref="B7:F7"/>
    <mergeCell ref="AU57:BA57"/>
    <mergeCell ref="AJ5:AM5"/>
    <mergeCell ref="B62:F62"/>
    <mergeCell ref="U32:Z32"/>
    <mergeCell ref="B31:F31"/>
    <mergeCell ref="U47:Z47"/>
    <mergeCell ref="AR40:AT40"/>
    <mergeCell ref="B39:F39"/>
    <mergeCell ref="V81:Z81"/>
    <mergeCell ref="AR33:AT33"/>
    <mergeCell ref="AR35:AT35"/>
    <mergeCell ref="L54:P54"/>
    <mergeCell ref="V73:Z73"/>
    <mergeCell ref="P77:U77"/>
    <mergeCell ref="B74:C74"/>
    <mergeCell ref="G48:K48"/>
    <mergeCell ref="B60:F60"/>
    <mergeCell ref="L42:P42"/>
    <mergeCell ref="G62:K62"/>
    <mergeCell ref="AR29:AT29"/>
    <mergeCell ref="B53:F53"/>
    <mergeCell ref="V74:Z74"/>
    <mergeCell ref="AR44:AT44"/>
    <mergeCell ref="B24:BA24"/>
    <mergeCell ref="AU58:BA58"/>
    <mergeCell ref="AG9:AM9"/>
    <mergeCell ref="P74:U74"/>
    <mergeCell ref="AO61:AQ61"/>
    <mergeCell ref="B25:BA25"/>
    <mergeCell ref="AA59:AN59"/>
    <mergeCell ref="C70:G70"/>
    <mergeCell ref="AU30:BA30"/>
    <mergeCell ref="AA46:AN46"/>
    <mergeCell ref="AU59:BA59"/>
    <mergeCell ref="AA64:AN64"/>
    <mergeCell ref="G32:K32"/>
    <mergeCell ref="AA51:AN51"/>
    <mergeCell ref="AU35:BA35"/>
    <mergeCell ref="AU50:BA50"/>
    <mergeCell ref="AU52:BA52"/>
    <mergeCell ref="AU39:BA39"/>
    <mergeCell ref="AU32:BA32"/>
    <mergeCell ref="B26:BA26"/>
    <mergeCell ref="AU60:BA60"/>
    <mergeCell ref="AA23:AL23"/>
    <mergeCell ref="G51:K51"/>
    <mergeCell ref="L52:P52"/>
    <mergeCell ref="AU45:BA45"/>
    <mergeCell ref="Q40:T40"/>
    <mergeCell ref="AU33:BA33"/>
    <mergeCell ref="Q53:T53"/>
    <mergeCell ref="U42:Z42"/>
    <mergeCell ref="AD76:AF76"/>
    <mergeCell ref="AU27:BA28"/>
    <mergeCell ref="G37:K37"/>
    <mergeCell ref="U52:Z52"/>
    <mergeCell ref="L27:P28"/>
    <mergeCell ref="B57:F57"/>
    <mergeCell ref="AA45:AN45"/>
    <mergeCell ref="AO59:AQ59"/>
    <mergeCell ref="AO46:AQ46"/>
    <mergeCell ref="P76:U76"/>
    <mergeCell ref="B29:F29"/>
    <mergeCell ref="G27:K28"/>
    <mergeCell ref="AO49:AQ49"/>
    <mergeCell ref="U63:Z63"/>
    <mergeCell ref="AO36:AQ36"/>
    <mergeCell ref="U50:Z50"/>
    <mergeCell ref="U44:Z44"/>
    <mergeCell ref="AO60:AQ60"/>
    <mergeCell ref="B49:F49"/>
    <mergeCell ref="U46:Z46"/>
    <mergeCell ref="G54:K54"/>
    <mergeCell ref="V75:Z75"/>
    <mergeCell ref="AO48:AQ48"/>
    <mergeCell ref="AO66:AQ66"/>
    <mergeCell ref="V80:Z80"/>
    <mergeCell ref="B54:F54"/>
    <mergeCell ref="AO43:AQ43"/>
    <mergeCell ref="G42:K42"/>
    <mergeCell ref="U57:Z57"/>
    <mergeCell ref="AD74:AF74"/>
    <mergeCell ref="B56:F56"/>
    <mergeCell ref="B43:F43"/>
    <mergeCell ref="B67:AT67"/>
    <mergeCell ref="Q66:T66"/>
    <mergeCell ref="U70:V70"/>
    <mergeCell ref="B45:F45"/>
    <mergeCell ref="AO47:AQ47"/>
    <mergeCell ref="AA62:AN62"/>
    <mergeCell ref="U61:Z61"/>
    <mergeCell ref="U48:Z48"/>
    <mergeCell ref="G56:K56"/>
    <mergeCell ref="Q65:T65"/>
    <mergeCell ref="G43:K43"/>
    <mergeCell ref="B47:F47"/>
    <mergeCell ref="P78:U78"/>
    <mergeCell ref="AA5:AH5"/>
    <mergeCell ref="AA60:AN60"/>
    <mergeCell ref="AR64:AT64"/>
    <mergeCell ref="L39:P39"/>
    <mergeCell ref="AR51:AT51"/>
    <mergeCell ref="AN22:BA22"/>
    <mergeCell ref="AO55:AQ55"/>
    <mergeCell ref="B38:F38"/>
    <mergeCell ref="G34:K34"/>
    <mergeCell ref="AO40:AQ40"/>
    <mergeCell ref="AA53:AN53"/>
    <mergeCell ref="AO27:AQ27"/>
    <mergeCell ref="U35:Z35"/>
    <mergeCell ref="Q58:T58"/>
    <mergeCell ref="B40:F40"/>
    <mergeCell ref="U34:Z34"/>
    <mergeCell ref="B33:F33"/>
    <mergeCell ref="Q60:T60"/>
    <mergeCell ref="U49:Z49"/>
    <mergeCell ref="U36:Z36"/>
    <mergeCell ref="U30:Z30"/>
    <mergeCell ref="AA42:AN42"/>
    <mergeCell ref="B41:F41"/>
    <mergeCell ref="B35:F35"/>
    <mergeCell ref="AF17:AR17"/>
    <mergeCell ref="Q45:T45"/>
    <mergeCell ref="B22:O22"/>
    <mergeCell ref="Q32:T32"/>
    <mergeCell ref="AA44:AN44"/>
    <mergeCell ref="AA58:AN58"/>
    <mergeCell ref="Q47:T47"/>
    <mergeCell ref="AA37:AN37"/>
    <mergeCell ref="AO63:AQ63"/>
    <mergeCell ref="AO53:AQ53"/>
    <mergeCell ref="AP19:AR19"/>
    <mergeCell ref="I17:R17"/>
    <mergeCell ref="AO45:AQ45"/>
    <mergeCell ref="I19:R19"/>
    <mergeCell ref="AO38:AQ38"/>
    <mergeCell ref="AA48:AN48"/>
    <mergeCell ref="U54:Z54"/>
    <mergeCell ref="U29:Z29"/>
    <mergeCell ref="L58:P58"/>
    <mergeCell ref="B34:F34"/>
    <mergeCell ref="U31:Z31"/>
    <mergeCell ref="L60:P60"/>
    <mergeCell ref="B30:F30"/>
    <mergeCell ref="G41:K41"/>
    <mergeCell ref="G5:Y5"/>
    <mergeCell ref="B81:C81"/>
    <mergeCell ref="AA52:AN52"/>
    <mergeCell ref="U19:X19"/>
    <mergeCell ref="AU62:BA62"/>
    <mergeCell ref="Q57:T57"/>
    <mergeCell ref="U33:Z33"/>
    <mergeCell ref="L62:P62"/>
    <mergeCell ref="G66:K66"/>
    <mergeCell ref="U27:Z28"/>
    <mergeCell ref="G53:K53"/>
    <mergeCell ref="AU64:BA64"/>
    <mergeCell ref="AA49:AN49"/>
    <mergeCell ref="AU51:BA51"/>
    <mergeCell ref="Q42:T42"/>
    <mergeCell ref="AO50:AQ50"/>
    <mergeCell ref="L64:P64"/>
    <mergeCell ref="Q52:T52"/>
    <mergeCell ref="AR38:AT38"/>
    <mergeCell ref="L51:P51"/>
    <mergeCell ref="AO52:AQ52"/>
    <mergeCell ref="B27:F28"/>
    <mergeCell ref="AA19:AF19"/>
    <mergeCell ref="B76:C76"/>
    <mergeCell ref="AU67:BA67"/>
    <mergeCell ref="Q54:T54"/>
    <mergeCell ref="U71:V71"/>
    <mergeCell ref="B84:C84"/>
    <mergeCell ref="Q29:T29"/>
    <mergeCell ref="G55:K55"/>
    <mergeCell ref="AR59:AT59"/>
    <mergeCell ref="L34:P34"/>
    <mergeCell ref="AR46:AT46"/>
    <mergeCell ref="Q31:T31"/>
    <mergeCell ref="B80:C80"/>
    <mergeCell ref="L49:P49"/>
    <mergeCell ref="AR61:AT61"/>
    <mergeCell ref="L36:P36"/>
    <mergeCell ref="B79:C79"/>
    <mergeCell ref="AR48:AT48"/>
    <mergeCell ref="AO37:AQ37"/>
    <mergeCell ref="D82:O82"/>
    <mergeCell ref="AA55:AN55"/>
    <mergeCell ref="D77:O77"/>
    <mergeCell ref="AA29:AN29"/>
    <mergeCell ref="AU65:BA65"/>
    <mergeCell ref="L65:P65"/>
    <mergeCell ref="B77:C77"/>
    <mergeCell ref="V83:Z83"/>
    <mergeCell ref="B78:C78"/>
    <mergeCell ref="AR47:AT47"/>
    <mergeCell ref="AN5:AZ5"/>
    <mergeCell ref="AG75:AV76"/>
    <mergeCell ref="G65:K65"/>
    <mergeCell ref="AR42:AT42"/>
    <mergeCell ref="D79:O79"/>
    <mergeCell ref="Q35:T35"/>
    <mergeCell ref="L59:P59"/>
    <mergeCell ref="G63:K63"/>
    <mergeCell ref="L46:P46"/>
    <mergeCell ref="G50:K50"/>
    <mergeCell ref="U65:Z65"/>
    <mergeCell ref="Q34:T34"/>
    <mergeCell ref="AR58:AT58"/>
    <mergeCell ref="G60:K60"/>
    <mergeCell ref="AR37:AT37"/>
    <mergeCell ref="L61:P61"/>
    <mergeCell ref="AU54:BA54"/>
    <mergeCell ref="Q49:T49"/>
    <mergeCell ref="L48:P48"/>
    <mergeCell ref="G52:K52"/>
    <mergeCell ref="AU41:BA41"/>
    <mergeCell ref="P81:U81"/>
    <mergeCell ref="AU66:BA66"/>
    <mergeCell ref="C18:AT18"/>
    <mergeCell ref="AU53:BA53"/>
    <mergeCell ref="G39:K39"/>
    <mergeCell ref="L33:P33"/>
    <mergeCell ref="AR45:AT45"/>
    <mergeCell ref="U39:Z39"/>
    <mergeCell ref="G7:AL7"/>
    <mergeCell ref="L35:P35"/>
    <mergeCell ref="Q23:Y23"/>
    <mergeCell ref="Q36:T36"/>
    <mergeCell ref="Q30:T30"/>
    <mergeCell ref="AO39:AQ39"/>
    <mergeCell ref="AU56:BA56"/>
    <mergeCell ref="AU43:BA43"/>
    <mergeCell ref="AO30:AQ30"/>
    <mergeCell ref="AO42:AQ42"/>
    <mergeCell ref="V78:Z78"/>
    <mergeCell ref="G9:M9"/>
    <mergeCell ref="AA39:AN39"/>
    <mergeCell ref="U69:AG69"/>
    <mergeCell ref="AO44:AQ44"/>
    <mergeCell ref="D74:O74"/>
  </mergeCells>
  <printOptions horizontalCentered="1"/>
  <pageMargins left="0.25" right="0.25" top="0.75" bottom="0.75" header="0.3" footer="0.3"/>
  <pageSetup paperSize="9" scale="52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8">
    <pageSetUpPr fitToPage="1"/>
  </sheetPr>
  <dimension ref="B1:BE85"/>
  <sheetViews>
    <sheetView showGridLines="0" topLeftCell="A52" zoomScaleNormal="100" zoomScaleSheetLayoutView="100" workbookViewId="0">
      <selection activeCell="U29" sqref="U29:Z29"/>
    </sheetView>
  </sheetViews>
  <sheetFormatPr defaultColWidth="8.88671875" defaultRowHeight="13.95" customHeight="1" x14ac:dyDescent="0.25"/>
  <cols>
    <col min="1" max="1" width="1.44140625" style="15" customWidth="1"/>
    <col min="2" max="2" width="1.109375" style="15" customWidth="1"/>
    <col min="3" max="3" width="2" style="15" customWidth="1"/>
    <col min="4" max="5" width="2.6640625" style="15" customWidth="1"/>
    <col min="6" max="6" width="3.33203125" style="15" customWidth="1"/>
    <col min="7" max="7" width="4.5546875" style="15" customWidth="1"/>
    <col min="8" max="9" width="2.6640625" style="15" customWidth="1"/>
    <col min="10" max="10" width="2.109375" style="15" customWidth="1"/>
    <col min="11" max="11" width="3.109375" style="15" customWidth="1"/>
    <col min="12" max="16" width="5.33203125" style="15" customWidth="1"/>
    <col min="17" max="17" width="2.44140625" style="15" customWidth="1"/>
    <col min="18" max="18" width="2.6640625" style="15" customWidth="1"/>
    <col min="19" max="19" width="3.109375" style="15" customWidth="1"/>
    <col min="20" max="20" width="2.5546875" style="15" customWidth="1"/>
    <col min="21" max="21" width="8" style="15" customWidth="1"/>
    <col min="22" max="25" width="2.6640625" style="15" customWidth="1"/>
    <col min="26" max="26" width="3.6640625" style="15" customWidth="1"/>
    <col min="27" max="30" width="2.6640625" style="15" customWidth="1"/>
    <col min="31" max="31" width="2.109375" style="15" customWidth="1"/>
    <col min="32" max="32" width="3.109375" style="15" customWidth="1"/>
    <col min="33" max="34" width="2.6640625" style="15" customWidth="1"/>
    <col min="35" max="35" width="10" style="15" customWidth="1"/>
    <col min="36" max="36" width="1.6640625" style="15" customWidth="1"/>
    <col min="37" max="37" width="2.6640625" style="15" customWidth="1"/>
    <col min="38" max="38" width="2" style="15" customWidth="1"/>
    <col min="39" max="39" width="2.33203125" style="15" customWidth="1"/>
    <col min="40" max="43" width="9.109375" style="15" customWidth="1"/>
    <col min="44" max="44" width="4.44140625" style="15" customWidth="1"/>
    <col min="45" max="45" width="4.5546875" style="15" customWidth="1"/>
    <col min="46" max="46" width="3.88671875" style="15" customWidth="1"/>
    <col min="47" max="47" width="1.88671875" style="15" customWidth="1"/>
    <col min="48" max="48" width="2.5546875" style="15" customWidth="1"/>
    <col min="49" max="49" width="0.88671875" style="15" customWidth="1"/>
    <col min="50" max="50" width="1.33203125" style="15" customWidth="1"/>
    <col min="51" max="54" width="2.6640625" style="15" customWidth="1"/>
    <col min="55" max="55" width="10" style="68" bestFit="1" customWidth="1"/>
    <col min="56" max="56" width="2.6640625" style="15" customWidth="1"/>
    <col min="57" max="57" width="15.88671875" style="15" customWidth="1"/>
    <col min="58" max="68" width="2.6640625" style="15" customWidth="1"/>
    <col min="69" max="80" width="8.88671875" style="15" customWidth="1"/>
    <col min="81" max="16384" width="8.88671875" style="15"/>
  </cols>
  <sheetData>
    <row r="1" spans="2:53" ht="9.75" customHeight="1" x14ac:dyDescent="0.25">
      <c r="B1" s="176" t="s">
        <v>0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61"/>
    </row>
    <row r="2" spans="2:53" ht="54.75" customHeight="1" x14ac:dyDescent="0.25">
      <c r="B2" s="167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68"/>
    </row>
    <row r="3" spans="2:53" ht="7.5" customHeight="1" x14ac:dyDescent="0.25">
      <c r="B3" s="177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16"/>
      <c r="AZ3" s="16"/>
      <c r="BA3" s="16"/>
    </row>
    <row r="4" spans="2:53" ht="8.25" customHeight="1" x14ac:dyDescent="0.25">
      <c r="B4" s="105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7"/>
      <c r="AZ4" s="17"/>
      <c r="BA4" s="18"/>
    </row>
    <row r="5" spans="2:53" ht="23.25" customHeight="1" x14ac:dyDescent="0.25">
      <c r="B5" s="108" t="s">
        <v>1</v>
      </c>
      <c r="C5" s="103"/>
      <c r="D5" s="103"/>
      <c r="E5" s="103"/>
      <c r="F5" s="103"/>
      <c r="G5" s="16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8" t="s">
        <v>2</v>
      </c>
      <c r="AA5" s="163"/>
      <c r="AB5" s="103"/>
      <c r="AC5" s="103"/>
      <c r="AD5" s="103"/>
      <c r="AE5" s="103"/>
      <c r="AF5" s="103"/>
      <c r="AG5" s="103"/>
      <c r="AH5" s="103"/>
      <c r="AI5" s="19"/>
      <c r="AJ5" s="179" t="s">
        <v>3</v>
      </c>
      <c r="AK5" s="103"/>
      <c r="AL5" s="103"/>
      <c r="AM5" s="103"/>
      <c r="AN5" s="155" t="s">
        <v>666</v>
      </c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20"/>
    </row>
    <row r="6" spans="2:53" ht="8.25" customHeight="1" x14ac:dyDescent="0.25">
      <c r="B6" s="59"/>
      <c r="C6" s="54"/>
      <c r="D6" s="54"/>
      <c r="E6" s="54"/>
      <c r="F6" s="54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8"/>
      <c r="AA6" s="58"/>
      <c r="AB6" s="58"/>
      <c r="AC6" s="58"/>
      <c r="AD6" s="58"/>
      <c r="AE6" s="58"/>
      <c r="AF6" s="58"/>
      <c r="AG6" s="58"/>
      <c r="AH6" s="58"/>
      <c r="AI6" s="19"/>
      <c r="AJ6" s="62"/>
      <c r="AK6" s="62"/>
      <c r="AL6" s="62"/>
      <c r="AM6" s="62"/>
      <c r="BA6" s="20"/>
    </row>
    <row r="7" spans="2:53" ht="23.25" customHeight="1" x14ac:dyDescent="0.25">
      <c r="B7" s="108" t="s">
        <v>5</v>
      </c>
      <c r="C7" s="103"/>
      <c r="D7" s="103"/>
      <c r="E7" s="103"/>
      <c r="F7" s="103"/>
      <c r="G7" s="154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62"/>
      <c r="BA7" s="20"/>
    </row>
    <row r="8" spans="2:53" ht="8.25" customHeight="1" x14ac:dyDescent="0.25">
      <c r="B8" s="59"/>
      <c r="C8" s="54"/>
      <c r="D8" s="54"/>
      <c r="E8" s="54"/>
      <c r="F8" s="54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8"/>
      <c r="AA8" s="58"/>
      <c r="AB8" s="58"/>
      <c r="AC8" s="58"/>
      <c r="AD8" s="58"/>
      <c r="AE8" s="58"/>
      <c r="AF8" s="58"/>
      <c r="AG8" s="58"/>
      <c r="AH8" s="58"/>
      <c r="AI8" s="19"/>
      <c r="AJ8" s="62"/>
      <c r="AK8" s="62"/>
      <c r="AL8" s="62"/>
      <c r="AM8" s="62"/>
      <c r="BA8" s="20"/>
    </row>
    <row r="9" spans="2:53" ht="22.5" customHeight="1" x14ac:dyDescent="0.25">
      <c r="B9" s="63" t="s">
        <v>6</v>
      </c>
      <c r="D9" s="8"/>
      <c r="E9" s="8"/>
      <c r="F9" s="8"/>
      <c r="G9" s="138"/>
      <c r="H9" s="103"/>
      <c r="I9" s="103"/>
      <c r="J9" s="103"/>
      <c r="K9" s="103"/>
      <c r="L9" s="103"/>
      <c r="M9" s="103"/>
      <c r="N9" s="58" t="s">
        <v>646</v>
      </c>
      <c r="O9" s="138"/>
      <c r="P9" s="103"/>
      <c r="Q9" s="103"/>
      <c r="R9" s="103"/>
      <c r="S9" s="103"/>
      <c r="T9" s="103"/>
      <c r="W9" s="21"/>
      <c r="X9" s="21"/>
      <c r="Y9" s="21"/>
      <c r="Z9" s="21"/>
      <c r="AA9" s="21"/>
      <c r="AB9" s="21"/>
      <c r="AC9" s="21"/>
      <c r="AD9" s="21"/>
      <c r="AG9" s="179" t="s">
        <v>8</v>
      </c>
      <c r="AH9" s="103"/>
      <c r="AI9" s="103"/>
      <c r="AJ9" s="103"/>
      <c r="AK9" s="103"/>
      <c r="AL9" s="103"/>
      <c r="AM9" s="103"/>
      <c r="AN9" s="138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27"/>
    </row>
    <row r="10" spans="2:53" ht="15" customHeight="1" x14ac:dyDescent="0.25">
      <c r="B10" s="26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21"/>
      <c r="P10" s="28"/>
      <c r="V10" s="29"/>
      <c r="W10" s="29"/>
      <c r="X10" s="29"/>
      <c r="Y10" s="29"/>
      <c r="Z10" s="29"/>
      <c r="AA10" s="29"/>
      <c r="AB10" s="29"/>
      <c r="AC10" s="29"/>
      <c r="AD10" s="29"/>
      <c r="AY10" s="21"/>
      <c r="AZ10" s="21"/>
      <c r="BA10" s="27"/>
    </row>
    <row r="11" spans="2:53" ht="15" customHeight="1" x14ac:dyDescent="0.25">
      <c r="B11" s="63" t="s">
        <v>9</v>
      </c>
      <c r="C11" s="58"/>
      <c r="D11" s="54"/>
      <c r="E11" s="54"/>
      <c r="F11" s="54"/>
      <c r="G11" s="54"/>
      <c r="H11" s="16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28"/>
      <c r="V11" s="28"/>
      <c r="W11" s="28"/>
      <c r="X11" s="28"/>
      <c r="Y11" s="28"/>
      <c r="Z11" s="28"/>
      <c r="AA11" s="29"/>
      <c r="AB11" s="29"/>
      <c r="AC11" s="29"/>
      <c r="AD11" s="29"/>
      <c r="AE11" s="28" t="s">
        <v>11</v>
      </c>
      <c r="AF11" s="28"/>
      <c r="AG11" s="28"/>
      <c r="AH11" s="28"/>
      <c r="AI11" s="28"/>
      <c r="AJ11" s="28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1"/>
      <c r="AZ11" s="21"/>
      <c r="BA11" s="27"/>
    </row>
    <row r="12" spans="2:53" ht="15" customHeight="1" x14ac:dyDescent="0.25">
      <c r="B12" s="26"/>
      <c r="C12" s="58"/>
      <c r="D12" s="54"/>
      <c r="E12" s="54"/>
      <c r="F12" s="54"/>
      <c r="G12" s="54"/>
      <c r="H12" s="8"/>
      <c r="I12" s="21"/>
      <c r="J12" s="21"/>
      <c r="K12" s="21"/>
      <c r="L12" s="54"/>
      <c r="M12" s="8"/>
      <c r="N12" s="21"/>
      <c r="O12" s="21"/>
      <c r="P12" s="21"/>
      <c r="Q12" s="21"/>
      <c r="R12" s="21"/>
      <c r="AF12" s="28"/>
      <c r="AG12" s="28"/>
      <c r="AH12" s="28"/>
      <c r="AI12" s="28"/>
      <c r="AJ12" s="28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1"/>
      <c r="AZ12" s="21"/>
      <c r="BA12" s="27"/>
    </row>
    <row r="13" spans="2:53" ht="15" customHeight="1" x14ac:dyDescent="0.25">
      <c r="B13" s="26"/>
      <c r="C13" s="58"/>
      <c r="D13" s="54"/>
      <c r="E13" s="54"/>
      <c r="F13" s="54"/>
      <c r="G13" s="54"/>
      <c r="H13" s="8"/>
      <c r="I13" s="21"/>
      <c r="J13" s="21"/>
      <c r="K13" s="21"/>
      <c r="L13" s="54"/>
      <c r="M13" s="8"/>
      <c r="N13" s="21"/>
      <c r="O13" s="21"/>
      <c r="P13" s="21"/>
      <c r="Q13" s="21"/>
      <c r="R13" s="21"/>
      <c r="AF13" s="28"/>
      <c r="AG13" s="28"/>
      <c r="AH13" s="28"/>
      <c r="AI13" s="28"/>
      <c r="AJ13" s="28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1"/>
      <c r="AZ13" s="21"/>
      <c r="BA13" s="27"/>
    </row>
    <row r="14" spans="2:53" ht="15" customHeight="1" x14ac:dyDescent="0.25">
      <c r="B14" s="26"/>
      <c r="C14" s="29"/>
      <c r="D14" s="8" t="s">
        <v>12</v>
      </c>
      <c r="I14" s="8" t="s">
        <v>13</v>
      </c>
      <c r="R14" s="58"/>
      <c r="S14" s="54" t="s">
        <v>14</v>
      </c>
      <c r="AF14" s="29"/>
      <c r="AH14" s="54"/>
      <c r="AI14" s="54" t="s">
        <v>15</v>
      </c>
      <c r="AJ14" s="54"/>
      <c r="AK14" s="54"/>
      <c r="AL14" s="54"/>
      <c r="AM14" s="21"/>
      <c r="AN14" s="58"/>
      <c r="AO14" s="58"/>
      <c r="AP14" s="58"/>
      <c r="AQ14" s="58"/>
      <c r="AR14" s="58"/>
      <c r="AS14" s="58"/>
      <c r="AT14" s="58"/>
      <c r="AU14" s="54"/>
      <c r="AV14" s="54"/>
      <c r="AW14" s="54"/>
      <c r="AX14" s="54"/>
      <c r="AY14" s="21"/>
      <c r="AZ14" s="21"/>
      <c r="BA14" s="27"/>
    </row>
    <row r="15" spans="2:53" ht="8.25" customHeight="1" x14ac:dyDescent="0.25">
      <c r="B15" s="147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22"/>
      <c r="AZ15" s="22"/>
      <c r="BA15" s="23"/>
    </row>
    <row r="16" spans="2:53" ht="9" customHeight="1" x14ac:dyDescent="0.25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</row>
    <row r="17" spans="2:53" ht="16.5" customHeight="1" x14ac:dyDescent="0.25">
      <c r="B17" s="64"/>
      <c r="C17" s="55" t="s">
        <v>16</v>
      </c>
      <c r="D17" s="56"/>
      <c r="E17" s="56"/>
      <c r="F17" s="55"/>
      <c r="G17" s="55"/>
      <c r="H17" s="55"/>
      <c r="I17" s="129"/>
      <c r="J17" s="130"/>
      <c r="K17" s="130"/>
      <c r="L17" s="130"/>
      <c r="M17" s="130"/>
      <c r="N17" s="130"/>
      <c r="O17" s="130"/>
      <c r="P17" s="130"/>
      <c r="Q17" s="130"/>
      <c r="R17" s="130"/>
      <c r="S17" s="57" t="s">
        <v>17</v>
      </c>
      <c r="T17" s="56"/>
      <c r="U17" s="56"/>
      <c r="V17" s="56"/>
      <c r="W17" s="56"/>
      <c r="X17" s="56"/>
      <c r="Y17" s="56"/>
      <c r="Z17" s="61"/>
      <c r="AA17" s="61"/>
      <c r="AB17" s="142"/>
      <c r="AC17" s="130"/>
      <c r="AD17" s="130"/>
      <c r="AE17" s="130"/>
      <c r="AF17" s="175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24"/>
      <c r="AT17" s="24"/>
      <c r="AU17" s="24"/>
      <c r="AV17" s="24"/>
      <c r="AW17" s="24"/>
      <c r="AX17" s="24"/>
      <c r="AY17" s="24"/>
      <c r="AZ17" s="24"/>
      <c r="BA17" s="25"/>
    </row>
    <row r="18" spans="2:53" ht="3.75" customHeight="1" x14ac:dyDescent="0.25">
      <c r="B18" s="26"/>
      <c r="C18" s="152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21"/>
      <c r="AV18" s="21"/>
      <c r="AW18" s="21"/>
      <c r="AX18" s="21"/>
      <c r="AY18" s="21"/>
      <c r="AZ18" s="21"/>
      <c r="BA18" s="27"/>
    </row>
    <row r="19" spans="2:53" ht="19.5" customHeight="1" x14ac:dyDescent="0.25">
      <c r="B19" s="172" t="s">
        <v>18</v>
      </c>
      <c r="C19" s="103"/>
      <c r="D19" s="103"/>
      <c r="E19" s="103"/>
      <c r="F19" s="103"/>
      <c r="G19" s="103"/>
      <c r="H19" s="10"/>
      <c r="I19" s="102"/>
      <c r="J19" s="103"/>
      <c r="K19" s="103"/>
      <c r="L19" s="103"/>
      <c r="M19" s="103"/>
      <c r="N19" s="103"/>
      <c r="O19" s="103"/>
      <c r="P19" s="103"/>
      <c r="Q19" s="103"/>
      <c r="R19" s="103"/>
      <c r="U19" s="158" t="s">
        <v>20</v>
      </c>
      <c r="V19" s="103"/>
      <c r="W19" s="103"/>
      <c r="X19" s="103"/>
      <c r="Y19" s="8"/>
      <c r="Z19" s="8"/>
      <c r="AA19" s="102"/>
      <c r="AB19" s="103"/>
      <c r="AC19" s="103"/>
      <c r="AD19" s="103"/>
      <c r="AE19" s="103"/>
      <c r="AF19" s="103"/>
      <c r="AG19" s="65"/>
      <c r="AH19" s="29" t="s">
        <v>22</v>
      </c>
      <c r="AI19" s="60"/>
      <c r="AJ19" s="65"/>
      <c r="AK19" s="65"/>
      <c r="AL19" s="65"/>
      <c r="AM19" s="65"/>
      <c r="AN19" s="8" t="s">
        <v>23</v>
      </c>
      <c r="AP19" s="170"/>
      <c r="AQ19" s="103"/>
      <c r="AR19" s="103"/>
      <c r="AS19" s="29" t="s">
        <v>22</v>
      </c>
      <c r="AT19" s="60"/>
      <c r="AU19" s="21"/>
      <c r="AV19" s="21"/>
      <c r="AW19" s="21"/>
      <c r="AX19" s="21"/>
      <c r="AY19" s="21"/>
      <c r="AZ19" s="21"/>
      <c r="BA19" s="27"/>
    </row>
    <row r="20" spans="2:53" ht="8.25" customHeight="1" x14ac:dyDescent="0.25">
      <c r="B20" s="66"/>
      <c r="C20" s="22"/>
      <c r="D20" s="22"/>
      <c r="E20" s="22"/>
      <c r="F20" s="22"/>
      <c r="G20" s="22"/>
      <c r="H20" s="22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2"/>
      <c r="BA20" s="23"/>
    </row>
    <row r="21" spans="2:53" ht="13.95" customHeight="1" x14ac:dyDescent="0.25">
      <c r="B21" s="127" t="s">
        <v>24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8"/>
      <c r="AM21" s="73"/>
      <c r="AN21" s="115" t="s">
        <v>25</v>
      </c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8"/>
    </row>
    <row r="22" spans="2:53" ht="13.95" customHeight="1" x14ac:dyDescent="0.25">
      <c r="B22" s="169" t="s">
        <v>26</v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68"/>
      <c r="P22" s="31"/>
      <c r="Q22" s="111" t="s">
        <v>27</v>
      </c>
      <c r="R22" s="112"/>
      <c r="S22" s="112"/>
      <c r="T22" s="112"/>
      <c r="U22" s="112"/>
      <c r="V22" s="112"/>
      <c r="W22" s="112"/>
      <c r="X22" s="112"/>
      <c r="Y22" s="113"/>
      <c r="Z22" s="31"/>
      <c r="AA22" s="111" t="s">
        <v>28</v>
      </c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3"/>
      <c r="AM22" s="31"/>
      <c r="AN22" s="183" t="s">
        <v>29</v>
      </c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8"/>
    </row>
    <row r="23" spans="2:53" ht="13.95" customHeight="1" x14ac:dyDescent="0.25">
      <c r="B23" s="173">
        <v>0</v>
      </c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4"/>
      <c r="P23" s="32"/>
      <c r="Q23" s="115">
        <f>AU67</f>
        <v>1384.31</v>
      </c>
      <c r="R23" s="97"/>
      <c r="S23" s="97"/>
      <c r="T23" s="97"/>
      <c r="U23" s="97"/>
      <c r="V23" s="97"/>
      <c r="W23" s="97"/>
      <c r="X23" s="97"/>
      <c r="Y23" s="98"/>
      <c r="Z23" s="33"/>
      <c r="AA23" s="202">
        <v>0</v>
      </c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4"/>
      <c r="AM23" s="72"/>
      <c r="AN23" s="115">
        <f>AU67</f>
        <v>1384.31</v>
      </c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8"/>
    </row>
    <row r="24" spans="2:53" ht="8.25" customHeight="1" x14ac:dyDescent="0.25">
      <c r="B24" s="143" t="s">
        <v>30</v>
      </c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</row>
    <row r="25" spans="2:53" ht="13.95" customHeight="1" x14ac:dyDescent="0.25">
      <c r="B25" s="160" t="s">
        <v>31</v>
      </c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61"/>
    </row>
    <row r="26" spans="2:53" ht="9" customHeight="1" x14ac:dyDescent="0.25">
      <c r="B26" s="13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4"/>
    </row>
    <row r="27" spans="2:53" ht="13.95" customHeight="1" x14ac:dyDescent="0.25">
      <c r="B27" s="192" t="s">
        <v>32</v>
      </c>
      <c r="C27" s="106"/>
      <c r="D27" s="106"/>
      <c r="E27" s="106"/>
      <c r="F27" s="120"/>
      <c r="G27" s="192" t="s">
        <v>33</v>
      </c>
      <c r="H27" s="106"/>
      <c r="I27" s="106"/>
      <c r="J27" s="106"/>
      <c r="K27" s="120"/>
      <c r="L27" s="192" t="s">
        <v>34</v>
      </c>
      <c r="M27" s="106"/>
      <c r="N27" s="106"/>
      <c r="O27" s="106"/>
      <c r="P27" s="120"/>
      <c r="Q27" s="192" t="s">
        <v>35</v>
      </c>
      <c r="R27" s="106"/>
      <c r="S27" s="106"/>
      <c r="T27" s="120"/>
      <c r="U27" s="192" t="s">
        <v>36</v>
      </c>
      <c r="V27" s="106"/>
      <c r="W27" s="106"/>
      <c r="X27" s="106"/>
      <c r="Y27" s="106"/>
      <c r="Z27" s="120"/>
      <c r="AA27" s="192" t="s">
        <v>37</v>
      </c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20"/>
      <c r="AO27" s="198" t="s">
        <v>38</v>
      </c>
      <c r="AP27" s="106"/>
      <c r="AQ27" s="120"/>
      <c r="AR27" s="198" t="s">
        <v>39</v>
      </c>
      <c r="AS27" s="106"/>
      <c r="AT27" s="120"/>
      <c r="AU27" s="192" t="s">
        <v>40</v>
      </c>
      <c r="AV27" s="106"/>
      <c r="AW27" s="106"/>
      <c r="AX27" s="106"/>
      <c r="AY27" s="106"/>
      <c r="AZ27" s="106"/>
      <c r="BA27" s="120"/>
    </row>
    <row r="28" spans="2:53" ht="13.5" customHeight="1" x14ac:dyDescent="0.25">
      <c r="B28" s="121"/>
      <c r="C28" s="112"/>
      <c r="D28" s="112"/>
      <c r="E28" s="112"/>
      <c r="F28" s="113"/>
      <c r="G28" s="121"/>
      <c r="H28" s="112"/>
      <c r="I28" s="112"/>
      <c r="J28" s="112"/>
      <c r="K28" s="113"/>
      <c r="L28" s="121"/>
      <c r="M28" s="112"/>
      <c r="N28" s="112"/>
      <c r="O28" s="112"/>
      <c r="P28" s="113"/>
      <c r="Q28" s="121"/>
      <c r="R28" s="112"/>
      <c r="S28" s="112"/>
      <c r="T28" s="113"/>
      <c r="U28" s="121"/>
      <c r="V28" s="112"/>
      <c r="W28" s="112"/>
      <c r="X28" s="112"/>
      <c r="Y28" s="112"/>
      <c r="Z28" s="113"/>
      <c r="AA28" s="121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3"/>
      <c r="AO28" s="200" t="s">
        <v>41</v>
      </c>
      <c r="AP28" s="112"/>
      <c r="AQ28" s="113"/>
      <c r="AR28" s="200" t="s">
        <v>648</v>
      </c>
      <c r="AS28" s="112"/>
      <c r="AT28" s="113"/>
      <c r="AU28" s="121"/>
      <c r="AV28" s="112"/>
      <c r="AW28" s="112"/>
      <c r="AX28" s="112"/>
      <c r="AY28" s="112"/>
      <c r="AZ28" s="112"/>
      <c r="BA28" s="113"/>
    </row>
    <row r="29" spans="2:53" ht="20.100000000000001" customHeight="1" x14ac:dyDescent="0.25">
      <c r="B29" s="190" t="s">
        <v>662</v>
      </c>
      <c r="C29" s="93"/>
      <c r="D29" s="93"/>
      <c r="E29" s="93"/>
      <c r="F29" s="94"/>
      <c r="G29" s="185">
        <v>210807</v>
      </c>
      <c r="H29" s="97"/>
      <c r="I29" s="97"/>
      <c r="J29" s="97"/>
      <c r="K29" s="98"/>
      <c r="L29" s="185" t="e">
        <f>IF(G29="","",VLOOKUP($AN$5,'Bases - Cadastro'!A:C,3,0))</f>
        <v>#N/A</v>
      </c>
      <c r="M29" s="97"/>
      <c r="N29" s="97"/>
      <c r="O29" s="97"/>
      <c r="P29" s="98"/>
      <c r="Q29" s="194"/>
      <c r="R29" s="93"/>
      <c r="S29" s="93"/>
      <c r="T29" s="94"/>
      <c r="U29" s="95" t="s">
        <v>663</v>
      </c>
      <c r="V29" s="93"/>
      <c r="W29" s="93"/>
      <c r="X29" s="93"/>
      <c r="Y29" s="93"/>
      <c r="Z29" s="94"/>
      <c r="AA29" s="95" t="s">
        <v>664</v>
      </c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4"/>
      <c r="AO29" s="95" t="s">
        <v>665</v>
      </c>
      <c r="AP29" s="93"/>
      <c r="AQ29" s="94"/>
      <c r="AR29" s="187" t="str">
        <f>_xlfn.IFNA(VLOOKUP(AO29,'Bases - Cadastro'!$A$37:$B$62,2,0),"")</f>
        <v/>
      </c>
      <c r="AS29" s="97"/>
      <c r="AT29" s="98"/>
      <c r="AU29" s="92">
        <v>1384.31</v>
      </c>
      <c r="AV29" s="93"/>
      <c r="AW29" s="93"/>
      <c r="AX29" s="93"/>
      <c r="AY29" s="93"/>
      <c r="AZ29" s="93"/>
      <c r="BA29" s="94"/>
    </row>
    <row r="30" spans="2:53" ht="20.100000000000001" customHeight="1" x14ac:dyDescent="0.25">
      <c r="B30" s="190"/>
      <c r="C30" s="93"/>
      <c r="D30" s="93"/>
      <c r="E30" s="93"/>
      <c r="F30" s="94"/>
      <c r="G30" s="185"/>
      <c r="H30" s="97"/>
      <c r="I30" s="97"/>
      <c r="J30" s="97"/>
      <c r="K30" s="98"/>
      <c r="L30" s="185" t="str">
        <f>IF(G30="","",VLOOKUP($AN$5,'Bases - Cadastro'!A:C,3,0))</f>
        <v/>
      </c>
      <c r="M30" s="97"/>
      <c r="N30" s="97"/>
      <c r="O30" s="97"/>
      <c r="P30" s="98"/>
      <c r="Q30" s="194"/>
      <c r="R30" s="93"/>
      <c r="S30" s="93"/>
      <c r="T30" s="94"/>
      <c r="U30" s="95"/>
      <c r="V30" s="93"/>
      <c r="W30" s="93"/>
      <c r="X30" s="93"/>
      <c r="Y30" s="93"/>
      <c r="Z30" s="94"/>
      <c r="AA30" s="95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4"/>
      <c r="AO30" s="95"/>
      <c r="AP30" s="93"/>
      <c r="AQ30" s="94"/>
      <c r="AR30" s="187" t="str">
        <f>_xlfn.IFNA(VLOOKUP(AO30,'Bases - Cadastro'!$A$37:$B$62,2,0),"")</f>
        <v/>
      </c>
      <c r="AS30" s="97"/>
      <c r="AT30" s="98"/>
      <c r="AU30" s="92"/>
      <c r="AV30" s="93"/>
      <c r="AW30" s="93"/>
      <c r="AX30" s="93"/>
      <c r="AY30" s="93"/>
      <c r="AZ30" s="93"/>
      <c r="BA30" s="94"/>
    </row>
    <row r="31" spans="2:53" ht="20.100000000000001" customHeight="1" x14ac:dyDescent="0.25">
      <c r="B31" s="190"/>
      <c r="C31" s="93"/>
      <c r="D31" s="93"/>
      <c r="E31" s="93"/>
      <c r="F31" s="94"/>
      <c r="G31" s="185"/>
      <c r="H31" s="97"/>
      <c r="I31" s="97"/>
      <c r="J31" s="97"/>
      <c r="K31" s="98"/>
      <c r="L31" s="185" t="str">
        <f>IF(G31="","",VLOOKUP($AN$5,'Bases - Cadastro'!A:C,3,0))</f>
        <v/>
      </c>
      <c r="M31" s="97"/>
      <c r="N31" s="97"/>
      <c r="O31" s="97"/>
      <c r="P31" s="98"/>
      <c r="Q31" s="194"/>
      <c r="R31" s="93"/>
      <c r="S31" s="93"/>
      <c r="T31" s="94"/>
      <c r="U31" s="95"/>
      <c r="V31" s="93"/>
      <c r="W31" s="93"/>
      <c r="X31" s="93"/>
      <c r="Y31" s="93"/>
      <c r="Z31" s="94"/>
      <c r="AA31" s="95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4"/>
      <c r="AO31" s="95"/>
      <c r="AP31" s="93"/>
      <c r="AQ31" s="94"/>
      <c r="AR31" s="187" t="str">
        <f>_xlfn.IFNA(VLOOKUP(AO31,'Bases - Cadastro'!$A$37:$B$62,2,0),"")</f>
        <v/>
      </c>
      <c r="AS31" s="97"/>
      <c r="AT31" s="98"/>
      <c r="AU31" s="92"/>
      <c r="AV31" s="93"/>
      <c r="AW31" s="93"/>
      <c r="AX31" s="93"/>
      <c r="AY31" s="93"/>
      <c r="AZ31" s="93"/>
      <c r="BA31" s="94"/>
    </row>
    <row r="32" spans="2:53" ht="20.100000000000001" customHeight="1" x14ac:dyDescent="0.25">
      <c r="B32" s="190"/>
      <c r="C32" s="93"/>
      <c r="D32" s="93"/>
      <c r="E32" s="93"/>
      <c r="F32" s="94"/>
      <c r="G32" s="185"/>
      <c r="H32" s="97"/>
      <c r="I32" s="97"/>
      <c r="J32" s="97"/>
      <c r="K32" s="98"/>
      <c r="L32" s="185" t="str">
        <f>IF(G32="","",VLOOKUP($AN$5,'Bases - Cadastro'!A:C,3,0))</f>
        <v/>
      </c>
      <c r="M32" s="97"/>
      <c r="N32" s="97"/>
      <c r="O32" s="97"/>
      <c r="P32" s="98"/>
      <c r="Q32" s="194"/>
      <c r="R32" s="93"/>
      <c r="S32" s="93"/>
      <c r="T32" s="94"/>
      <c r="U32" s="95"/>
      <c r="V32" s="93"/>
      <c r="W32" s="93"/>
      <c r="X32" s="93"/>
      <c r="Y32" s="93"/>
      <c r="Z32" s="94"/>
      <c r="AA32" s="95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4"/>
      <c r="AO32" s="95"/>
      <c r="AP32" s="93"/>
      <c r="AQ32" s="94"/>
      <c r="AR32" s="187" t="str">
        <f>_xlfn.IFNA(VLOOKUP(AO32,'Bases - Cadastro'!$A$37:$B$62,2,0),"")</f>
        <v/>
      </c>
      <c r="AS32" s="97"/>
      <c r="AT32" s="98"/>
      <c r="AU32" s="92"/>
      <c r="AV32" s="93"/>
      <c r="AW32" s="93"/>
      <c r="AX32" s="93"/>
      <c r="AY32" s="93"/>
      <c r="AZ32" s="93"/>
      <c r="BA32" s="94"/>
    </row>
    <row r="33" spans="2:57" ht="28.5" customHeight="1" x14ac:dyDescent="0.25">
      <c r="B33" s="190"/>
      <c r="C33" s="93"/>
      <c r="D33" s="93"/>
      <c r="E33" s="93"/>
      <c r="F33" s="94"/>
      <c r="G33" s="185"/>
      <c r="H33" s="97"/>
      <c r="I33" s="97"/>
      <c r="J33" s="97"/>
      <c r="K33" s="98"/>
      <c r="L33" s="185" t="str">
        <f>IF(G33="","",VLOOKUP($AN$5,'Bases - Cadastro'!A:C,3,0))</f>
        <v/>
      </c>
      <c r="M33" s="97"/>
      <c r="N33" s="97"/>
      <c r="O33" s="97"/>
      <c r="P33" s="98"/>
      <c r="Q33" s="194"/>
      <c r="R33" s="93"/>
      <c r="S33" s="93"/>
      <c r="T33" s="94"/>
      <c r="U33" s="95"/>
      <c r="V33" s="93"/>
      <c r="W33" s="93"/>
      <c r="X33" s="93"/>
      <c r="Y33" s="93"/>
      <c r="Z33" s="94"/>
      <c r="AA33" s="95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4"/>
      <c r="AO33" s="95"/>
      <c r="AP33" s="93"/>
      <c r="AQ33" s="94"/>
      <c r="AR33" s="187" t="str">
        <f>_xlfn.IFNA(VLOOKUP(AO33,'Bases - Cadastro'!$A$37:$B$62,2,0),"")</f>
        <v/>
      </c>
      <c r="AS33" s="97"/>
      <c r="AT33" s="98"/>
      <c r="AU33" s="92"/>
      <c r="AV33" s="93"/>
      <c r="AW33" s="93"/>
      <c r="AX33" s="93"/>
      <c r="AY33" s="93"/>
      <c r="AZ33" s="93"/>
      <c r="BA33" s="94"/>
    </row>
    <row r="34" spans="2:57" ht="20.100000000000001" customHeight="1" x14ac:dyDescent="0.25">
      <c r="B34" s="190"/>
      <c r="C34" s="93"/>
      <c r="D34" s="93"/>
      <c r="E34" s="93"/>
      <c r="F34" s="94"/>
      <c r="G34" s="185"/>
      <c r="H34" s="97"/>
      <c r="I34" s="97"/>
      <c r="J34" s="97"/>
      <c r="K34" s="98"/>
      <c r="L34" s="185" t="str">
        <f>IF(G34="","",VLOOKUP($AN$5,'Bases - Cadastro'!A:C,3,0))</f>
        <v/>
      </c>
      <c r="M34" s="97"/>
      <c r="N34" s="97"/>
      <c r="O34" s="97"/>
      <c r="P34" s="98"/>
      <c r="Q34" s="194"/>
      <c r="R34" s="93"/>
      <c r="S34" s="93"/>
      <c r="T34" s="94"/>
      <c r="U34" s="95"/>
      <c r="V34" s="93"/>
      <c r="W34" s="93"/>
      <c r="X34" s="93"/>
      <c r="Y34" s="93"/>
      <c r="Z34" s="94"/>
      <c r="AA34" s="95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4"/>
      <c r="AO34" s="95"/>
      <c r="AP34" s="93"/>
      <c r="AQ34" s="94"/>
      <c r="AR34" s="187" t="str">
        <f>_xlfn.IFNA(VLOOKUP(AO34,'Bases - Cadastro'!$A$37:$B$62,2,0),"")</f>
        <v/>
      </c>
      <c r="AS34" s="97"/>
      <c r="AT34" s="98"/>
      <c r="AU34" s="92"/>
      <c r="AV34" s="93"/>
      <c r="AW34" s="93"/>
      <c r="AX34" s="93"/>
      <c r="AY34" s="93"/>
      <c r="AZ34" s="93"/>
      <c r="BA34" s="94"/>
      <c r="BD34" s="67"/>
    </row>
    <row r="35" spans="2:57" ht="20.100000000000001" customHeight="1" x14ac:dyDescent="0.3">
      <c r="B35" s="190"/>
      <c r="C35" s="93"/>
      <c r="D35" s="93"/>
      <c r="E35" s="93"/>
      <c r="F35" s="94"/>
      <c r="G35" s="185"/>
      <c r="H35" s="97"/>
      <c r="I35" s="97"/>
      <c r="J35" s="97"/>
      <c r="K35" s="98"/>
      <c r="L35" s="185" t="str">
        <f>IF(G35="","",VLOOKUP($AN$5,'Bases - Cadastro'!A:C,3,0))</f>
        <v/>
      </c>
      <c r="M35" s="97"/>
      <c r="N35" s="97"/>
      <c r="O35" s="97"/>
      <c r="P35" s="98"/>
      <c r="Q35" s="194"/>
      <c r="R35" s="93"/>
      <c r="S35" s="93"/>
      <c r="T35" s="94"/>
      <c r="U35" s="95"/>
      <c r="V35" s="93"/>
      <c r="W35" s="93"/>
      <c r="X35" s="93"/>
      <c r="Y35" s="93"/>
      <c r="Z35" s="94"/>
      <c r="AA35" s="95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4"/>
      <c r="AO35" s="95"/>
      <c r="AP35" s="93"/>
      <c r="AQ35" s="94"/>
      <c r="AR35" s="187" t="str">
        <f>_xlfn.IFNA(VLOOKUP(AO35,'Bases - Cadastro'!$A$37:$B$62,2,0),"")</f>
        <v/>
      </c>
      <c r="AS35" s="97"/>
      <c r="AT35" s="98"/>
      <c r="AU35" s="92"/>
      <c r="AV35" s="93"/>
      <c r="AW35" s="93"/>
      <c r="AX35" s="93"/>
      <c r="AY35" s="93"/>
      <c r="AZ35" s="93"/>
      <c r="BA35" s="94"/>
      <c r="BB35" s="34"/>
      <c r="BC35" s="69"/>
    </row>
    <row r="36" spans="2:57" ht="20.100000000000001" customHeight="1" x14ac:dyDescent="0.3">
      <c r="B36" s="190"/>
      <c r="C36" s="93"/>
      <c r="D36" s="93"/>
      <c r="E36" s="93"/>
      <c r="F36" s="94"/>
      <c r="G36" s="185"/>
      <c r="H36" s="97"/>
      <c r="I36" s="97"/>
      <c r="J36" s="97"/>
      <c r="K36" s="98"/>
      <c r="L36" s="185" t="str">
        <f>IF(G36="","",VLOOKUP($AN$5,'Bases - Cadastro'!A:C,3,0))</f>
        <v/>
      </c>
      <c r="M36" s="97"/>
      <c r="N36" s="97"/>
      <c r="O36" s="97"/>
      <c r="P36" s="98"/>
      <c r="Q36" s="194"/>
      <c r="R36" s="93"/>
      <c r="S36" s="93"/>
      <c r="T36" s="94"/>
      <c r="U36" s="95"/>
      <c r="V36" s="93"/>
      <c r="W36" s="93"/>
      <c r="X36" s="93"/>
      <c r="Y36" s="93"/>
      <c r="Z36" s="94"/>
      <c r="AA36" s="95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4"/>
      <c r="AO36" s="95"/>
      <c r="AP36" s="93"/>
      <c r="AQ36" s="94"/>
      <c r="AR36" s="187" t="str">
        <f>_xlfn.IFNA(VLOOKUP(AO36,'Bases - Cadastro'!$A$37:$B$62,2,0),"")</f>
        <v/>
      </c>
      <c r="AS36" s="97"/>
      <c r="AT36" s="98"/>
      <c r="AU36" s="92"/>
      <c r="AV36" s="93"/>
      <c r="AW36" s="93"/>
      <c r="AX36" s="93"/>
      <c r="AY36" s="93"/>
      <c r="AZ36" s="93"/>
      <c r="BA36" s="94"/>
      <c r="BB36" s="34"/>
      <c r="BC36" s="69"/>
    </row>
    <row r="37" spans="2:57" ht="20.100000000000001" customHeight="1" x14ac:dyDescent="0.25">
      <c r="B37" s="190"/>
      <c r="C37" s="93"/>
      <c r="D37" s="93"/>
      <c r="E37" s="93"/>
      <c r="F37" s="94"/>
      <c r="G37" s="185"/>
      <c r="H37" s="97"/>
      <c r="I37" s="97"/>
      <c r="J37" s="97"/>
      <c r="K37" s="98"/>
      <c r="L37" s="185" t="str">
        <f>IF(G37="","",VLOOKUP($AN$5,'Bases - Cadastro'!A:C,3,0))</f>
        <v/>
      </c>
      <c r="M37" s="97"/>
      <c r="N37" s="97"/>
      <c r="O37" s="97"/>
      <c r="P37" s="98"/>
      <c r="Q37" s="194"/>
      <c r="R37" s="93"/>
      <c r="S37" s="93"/>
      <c r="T37" s="94"/>
      <c r="U37" s="95"/>
      <c r="V37" s="93"/>
      <c r="W37" s="93"/>
      <c r="X37" s="93"/>
      <c r="Y37" s="93"/>
      <c r="Z37" s="94"/>
      <c r="AA37" s="95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4"/>
      <c r="AO37" s="95"/>
      <c r="AP37" s="93"/>
      <c r="AQ37" s="94"/>
      <c r="AR37" s="187" t="str">
        <f>_xlfn.IFNA(VLOOKUP(AO37,'Bases - Cadastro'!$A$37:$B$62,2,0),"")</f>
        <v/>
      </c>
      <c r="AS37" s="97"/>
      <c r="AT37" s="98"/>
      <c r="AU37" s="92"/>
      <c r="AV37" s="93"/>
      <c r="AW37" s="93"/>
      <c r="AX37" s="93"/>
      <c r="AY37" s="93"/>
      <c r="AZ37" s="93"/>
      <c r="BA37" s="94"/>
      <c r="BC37" s="70"/>
      <c r="BE37" s="67"/>
    </row>
    <row r="38" spans="2:57" ht="14.1" customHeight="1" x14ac:dyDescent="0.25">
      <c r="B38" s="190"/>
      <c r="C38" s="93"/>
      <c r="D38" s="93"/>
      <c r="E38" s="93"/>
      <c r="F38" s="94"/>
      <c r="G38" s="185"/>
      <c r="H38" s="97"/>
      <c r="I38" s="97"/>
      <c r="J38" s="97"/>
      <c r="K38" s="98"/>
      <c r="L38" s="185" t="str">
        <f>IF(G38="","",VLOOKUP($AN$5,'Bases - Cadastro'!A:C,3,0))</f>
        <v/>
      </c>
      <c r="M38" s="97"/>
      <c r="N38" s="97"/>
      <c r="O38" s="97"/>
      <c r="P38" s="98"/>
      <c r="Q38" s="194"/>
      <c r="R38" s="93"/>
      <c r="S38" s="93"/>
      <c r="T38" s="94"/>
      <c r="U38" s="95"/>
      <c r="V38" s="93"/>
      <c r="W38" s="93"/>
      <c r="X38" s="93"/>
      <c r="Y38" s="93"/>
      <c r="Z38" s="94"/>
      <c r="AA38" s="95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4"/>
      <c r="AO38" s="95"/>
      <c r="AP38" s="93"/>
      <c r="AQ38" s="94"/>
      <c r="AR38" s="187" t="str">
        <f>_xlfn.IFNA(VLOOKUP(AO38,'Bases - Cadastro'!$A$37:$B$62,2,0),"")</f>
        <v/>
      </c>
      <c r="AS38" s="97"/>
      <c r="AT38" s="98"/>
      <c r="AU38" s="92"/>
      <c r="AV38" s="93"/>
      <c r="AW38" s="93"/>
      <c r="AX38" s="93"/>
      <c r="AY38" s="93"/>
      <c r="AZ38" s="93"/>
      <c r="BA38" s="94"/>
    </row>
    <row r="39" spans="2:57" ht="14.1" customHeight="1" x14ac:dyDescent="0.25">
      <c r="B39" s="190"/>
      <c r="C39" s="93"/>
      <c r="D39" s="93"/>
      <c r="E39" s="93"/>
      <c r="F39" s="94"/>
      <c r="G39" s="185"/>
      <c r="H39" s="97"/>
      <c r="I39" s="97"/>
      <c r="J39" s="97"/>
      <c r="K39" s="98"/>
      <c r="L39" s="185" t="str">
        <f>IF(G39="","",VLOOKUP($AN$5,'Bases - Cadastro'!A:C,3,0))</f>
        <v/>
      </c>
      <c r="M39" s="97"/>
      <c r="N39" s="97"/>
      <c r="O39" s="97"/>
      <c r="P39" s="98"/>
      <c r="Q39" s="194"/>
      <c r="R39" s="93"/>
      <c r="S39" s="93"/>
      <c r="T39" s="94"/>
      <c r="U39" s="95"/>
      <c r="V39" s="93"/>
      <c r="W39" s="93"/>
      <c r="X39" s="93"/>
      <c r="Y39" s="93"/>
      <c r="Z39" s="94"/>
      <c r="AA39" s="95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4"/>
      <c r="AO39" s="95"/>
      <c r="AP39" s="93"/>
      <c r="AQ39" s="94"/>
      <c r="AR39" s="187" t="str">
        <f>_xlfn.IFNA(VLOOKUP(AO39,'Bases - Cadastro'!$A$37:$B$62,2,0),"")</f>
        <v/>
      </c>
      <c r="AS39" s="97"/>
      <c r="AT39" s="98"/>
      <c r="AU39" s="92"/>
      <c r="AV39" s="93"/>
      <c r="AW39" s="93"/>
      <c r="AX39" s="93"/>
      <c r="AY39" s="93"/>
      <c r="AZ39" s="93"/>
      <c r="BA39" s="94"/>
    </row>
    <row r="40" spans="2:57" ht="14.1" customHeight="1" x14ac:dyDescent="0.25">
      <c r="B40" s="190"/>
      <c r="C40" s="93"/>
      <c r="D40" s="93"/>
      <c r="E40" s="93"/>
      <c r="F40" s="94"/>
      <c r="G40" s="185"/>
      <c r="H40" s="97"/>
      <c r="I40" s="97"/>
      <c r="J40" s="97"/>
      <c r="K40" s="98"/>
      <c r="L40" s="185" t="str">
        <f>IF(G40="","",VLOOKUP($AN$5,'Bases - Cadastro'!A:C,3,0))</f>
        <v/>
      </c>
      <c r="M40" s="97"/>
      <c r="N40" s="97"/>
      <c r="O40" s="97"/>
      <c r="P40" s="98"/>
      <c r="Q40" s="194"/>
      <c r="R40" s="93"/>
      <c r="S40" s="93"/>
      <c r="T40" s="94"/>
      <c r="U40" s="95"/>
      <c r="V40" s="93"/>
      <c r="W40" s="93"/>
      <c r="X40" s="93"/>
      <c r="Y40" s="93"/>
      <c r="Z40" s="94"/>
      <c r="AA40" s="95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4"/>
      <c r="AO40" s="95"/>
      <c r="AP40" s="93"/>
      <c r="AQ40" s="94"/>
      <c r="AR40" s="187" t="str">
        <f>_xlfn.IFNA(VLOOKUP(AO40,'Bases - Cadastro'!$A$37:$B$62,2,0),"")</f>
        <v/>
      </c>
      <c r="AS40" s="97"/>
      <c r="AT40" s="98"/>
      <c r="AU40" s="92"/>
      <c r="AV40" s="93"/>
      <c r="AW40" s="93"/>
      <c r="AX40" s="93"/>
      <c r="AY40" s="93"/>
      <c r="AZ40" s="93"/>
      <c r="BA40" s="94"/>
    </row>
    <row r="41" spans="2:57" ht="14.1" customHeight="1" x14ac:dyDescent="0.25">
      <c r="B41" s="190"/>
      <c r="C41" s="93"/>
      <c r="D41" s="93"/>
      <c r="E41" s="93"/>
      <c r="F41" s="94"/>
      <c r="G41" s="185"/>
      <c r="H41" s="97"/>
      <c r="I41" s="97"/>
      <c r="J41" s="97"/>
      <c r="K41" s="98"/>
      <c r="L41" s="185" t="str">
        <f>IF(G41="","",VLOOKUP($AN$5,'Bases - Cadastro'!A:C,3,0))</f>
        <v/>
      </c>
      <c r="M41" s="97"/>
      <c r="N41" s="97"/>
      <c r="O41" s="97"/>
      <c r="P41" s="98"/>
      <c r="Q41" s="194"/>
      <c r="R41" s="93"/>
      <c r="S41" s="93"/>
      <c r="T41" s="94"/>
      <c r="U41" s="95"/>
      <c r="V41" s="93"/>
      <c r="W41" s="93"/>
      <c r="X41" s="93"/>
      <c r="Y41" s="93"/>
      <c r="Z41" s="94"/>
      <c r="AA41" s="95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4"/>
      <c r="AO41" s="95"/>
      <c r="AP41" s="93"/>
      <c r="AQ41" s="94"/>
      <c r="AR41" s="187" t="str">
        <f>_xlfn.IFNA(VLOOKUP(AO41,'Bases - Cadastro'!$A$37:$B$62,2,0),"")</f>
        <v/>
      </c>
      <c r="AS41" s="97"/>
      <c r="AT41" s="98"/>
      <c r="AU41" s="92"/>
      <c r="AV41" s="93"/>
      <c r="AW41" s="93"/>
      <c r="AX41" s="93"/>
      <c r="AY41" s="93"/>
      <c r="AZ41" s="93"/>
      <c r="BA41" s="94"/>
      <c r="BE41" s="35"/>
    </row>
    <row r="42" spans="2:57" ht="14.1" customHeight="1" x14ac:dyDescent="0.25">
      <c r="B42" s="190"/>
      <c r="C42" s="93"/>
      <c r="D42" s="93"/>
      <c r="E42" s="93"/>
      <c r="F42" s="94"/>
      <c r="G42" s="185"/>
      <c r="H42" s="97"/>
      <c r="I42" s="97"/>
      <c r="J42" s="97"/>
      <c r="K42" s="98"/>
      <c r="L42" s="185" t="str">
        <f>IF(G42="","",VLOOKUP($AN$5,'Bases - Cadastro'!A:C,3,0))</f>
        <v/>
      </c>
      <c r="M42" s="97"/>
      <c r="N42" s="97"/>
      <c r="O42" s="97"/>
      <c r="P42" s="98"/>
      <c r="Q42" s="194"/>
      <c r="R42" s="93"/>
      <c r="S42" s="93"/>
      <c r="T42" s="94"/>
      <c r="U42" s="95"/>
      <c r="V42" s="93"/>
      <c r="W42" s="93"/>
      <c r="X42" s="93"/>
      <c r="Y42" s="93"/>
      <c r="Z42" s="94"/>
      <c r="AA42" s="95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4"/>
      <c r="AO42" s="95"/>
      <c r="AP42" s="93"/>
      <c r="AQ42" s="94"/>
      <c r="AR42" s="187" t="str">
        <f>_xlfn.IFNA(VLOOKUP(AO42,'Bases - Cadastro'!$A$37:$B$62,2,0),"")</f>
        <v/>
      </c>
      <c r="AS42" s="97"/>
      <c r="AT42" s="98"/>
      <c r="AU42" s="92"/>
      <c r="AV42" s="93"/>
      <c r="AW42" s="93"/>
      <c r="AX42" s="93"/>
      <c r="AY42" s="93"/>
      <c r="AZ42" s="93"/>
      <c r="BA42" s="94"/>
    </row>
    <row r="43" spans="2:57" ht="14.1" customHeight="1" x14ac:dyDescent="0.25">
      <c r="B43" s="190"/>
      <c r="C43" s="93"/>
      <c r="D43" s="93"/>
      <c r="E43" s="93"/>
      <c r="F43" s="94"/>
      <c r="G43" s="185"/>
      <c r="H43" s="97"/>
      <c r="I43" s="97"/>
      <c r="J43" s="97"/>
      <c r="K43" s="98"/>
      <c r="L43" s="185" t="str">
        <f>IF(G43="","",VLOOKUP($AN$5,'Bases - Cadastro'!A:C,3,0))</f>
        <v/>
      </c>
      <c r="M43" s="97"/>
      <c r="N43" s="97"/>
      <c r="O43" s="97"/>
      <c r="P43" s="98"/>
      <c r="Q43" s="194"/>
      <c r="R43" s="93"/>
      <c r="S43" s="93"/>
      <c r="T43" s="94"/>
      <c r="U43" s="95"/>
      <c r="V43" s="93"/>
      <c r="W43" s="93"/>
      <c r="X43" s="93"/>
      <c r="Y43" s="93"/>
      <c r="Z43" s="94"/>
      <c r="AA43" s="95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4"/>
      <c r="AO43" s="95"/>
      <c r="AP43" s="93"/>
      <c r="AQ43" s="94"/>
      <c r="AR43" s="187" t="str">
        <f>_xlfn.IFNA(VLOOKUP(AO43,'Bases - Cadastro'!$A$37:$B$62,2,0),"")</f>
        <v/>
      </c>
      <c r="AS43" s="97"/>
      <c r="AT43" s="98"/>
      <c r="AU43" s="92"/>
      <c r="AV43" s="93"/>
      <c r="AW43" s="93"/>
      <c r="AX43" s="93"/>
      <c r="AY43" s="93"/>
      <c r="AZ43" s="93"/>
      <c r="BA43" s="94"/>
    </row>
    <row r="44" spans="2:57" ht="14.1" customHeight="1" x14ac:dyDescent="0.25">
      <c r="B44" s="190"/>
      <c r="C44" s="93"/>
      <c r="D44" s="93"/>
      <c r="E44" s="93"/>
      <c r="F44" s="94"/>
      <c r="G44" s="185"/>
      <c r="H44" s="97"/>
      <c r="I44" s="97"/>
      <c r="J44" s="97"/>
      <c r="K44" s="98"/>
      <c r="L44" s="185" t="str">
        <f>IF(G44="","",VLOOKUP($AN$5,'Bases - Cadastro'!A:C,3,0))</f>
        <v/>
      </c>
      <c r="M44" s="97"/>
      <c r="N44" s="97"/>
      <c r="O44" s="97"/>
      <c r="P44" s="98"/>
      <c r="Q44" s="194"/>
      <c r="R44" s="93"/>
      <c r="S44" s="93"/>
      <c r="T44" s="94"/>
      <c r="U44" s="95"/>
      <c r="V44" s="93"/>
      <c r="W44" s="93"/>
      <c r="X44" s="93"/>
      <c r="Y44" s="93"/>
      <c r="Z44" s="94"/>
      <c r="AA44" s="95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4"/>
      <c r="AO44" s="95"/>
      <c r="AP44" s="93"/>
      <c r="AQ44" s="94"/>
      <c r="AR44" s="187" t="str">
        <f>_xlfn.IFNA(VLOOKUP(AO44,'Bases - Cadastro'!$A$37:$B$62,2,0),"")</f>
        <v/>
      </c>
      <c r="AS44" s="97"/>
      <c r="AT44" s="98"/>
      <c r="AU44" s="92"/>
      <c r="AV44" s="93"/>
      <c r="AW44" s="93"/>
      <c r="AX44" s="93"/>
      <c r="AY44" s="93"/>
      <c r="AZ44" s="93"/>
      <c r="BA44" s="94"/>
    </row>
    <row r="45" spans="2:57" ht="14.1" customHeight="1" x14ac:dyDescent="0.25">
      <c r="B45" s="190"/>
      <c r="C45" s="93"/>
      <c r="D45" s="93"/>
      <c r="E45" s="93"/>
      <c r="F45" s="94"/>
      <c r="G45" s="185"/>
      <c r="H45" s="97"/>
      <c r="I45" s="97"/>
      <c r="J45" s="97"/>
      <c r="K45" s="98"/>
      <c r="L45" s="185" t="str">
        <f>IF(G45="","",VLOOKUP($AN$5,'Bases - Cadastro'!A:C,3,0))</f>
        <v/>
      </c>
      <c r="M45" s="97"/>
      <c r="N45" s="97"/>
      <c r="O45" s="97"/>
      <c r="P45" s="98"/>
      <c r="Q45" s="194"/>
      <c r="R45" s="93"/>
      <c r="S45" s="93"/>
      <c r="T45" s="94"/>
      <c r="U45" s="95"/>
      <c r="V45" s="93"/>
      <c r="W45" s="93"/>
      <c r="X45" s="93"/>
      <c r="Y45" s="93"/>
      <c r="Z45" s="94"/>
      <c r="AA45" s="95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4"/>
      <c r="AO45" s="95"/>
      <c r="AP45" s="93"/>
      <c r="AQ45" s="94"/>
      <c r="AR45" s="187" t="str">
        <f>_xlfn.IFNA(VLOOKUP(AO45,'Bases - Cadastro'!$A$37:$B$62,2,0),"")</f>
        <v/>
      </c>
      <c r="AS45" s="97"/>
      <c r="AT45" s="98"/>
      <c r="AU45" s="92"/>
      <c r="AV45" s="93"/>
      <c r="AW45" s="93"/>
      <c r="AX45" s="93"/>
      <c r="AY45" s="93"/>
      <c r="AZ45" s="93"/>
      <c r="BA45" s="94"/>
    </row>
    <row r="46" spans="2:57" ht="14.1" customHeight="1" x14ac:dyDescent="0.25">
      <c r="B46" s="190"/>
      <c r="C46" s="93"/>
      <c r="D46" s="93"/>
      <c r="E46" s="93"/>
      <c r="F46" s="94"/>
      <c r="G46" s="185"/>
      <c r="H46" s="97"/>
      <c r="I46" s="97"/>
      <c r="J46" s="97"/>
      <c r="K46" s="98"/>
      <c r="L46" s="185" t="str">
        <f>IF(G46="","",VLOOKUP($AN$5,'Bases - Cadastro'!A:C,3,0))</f>
        <v/>
      </c>
      <c r="M46" s="97"/>
      <c r="N46" s="97"/>
      <c r="O46" s="97"/>
      <c r="P46" s="98"/>
      <c r="Q46" s="194"/>
      <c r="R46" s="93"/>
      <c r="S46" s="93"/>
      <c r="T46" s="94"/>
      <c r="U46" s="95"/>
      <c r="V46" s="93"/>
      <c r="W46" s="93"/>
      <c r="X46" s="93"/>
      <c r="Y46" s="93"/>
      <c r="Z46" s="94"/>
      <c r="AA46" s="95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4"/>
      <c r="AO46" s="95"/>
      <c r="AP46" s="93"/>
      <c r="AQ46" s="94"/>
      <c r="AR46" s="187" t="str">
        <f>_xlfn.IFNA(VLOOKUP(AO46,'Bases - Cadastro'!$A$37:$B$62,2,0),"")</f>
        <v/>
      </c>
      <c r="AS46" s="97"/>
      <c r="AT46" s="98"/>
      <c r="AU46" s="92"/>
      <c r="AV46" s="93"/>
      <c r="AW46" s="93"/>
      <c r="AX46" s="93"/>
      <c r="AY46" s="93"/>
      <c r="AZ46" s="93"/>
      <c r="BA46" s="94"/>
    </row>
    <row r="47" spans="2:57" ht="14.1" customHeight="1" x14ac:dyDescent="0.25">
      <c r="B47" s="190"/>
      <c r="C47" s="93"/>
      <c r="D47" s="93"/>
      <c r="E47" s="93"/>
      <c r="F47" s="94"/>
      <c r="G47" s="185"/>
      <c r="H47" s="97"/>
      <c r="I47" s="97"/>
      <c r="J47" s="97"/>
      <c r="K47" s="98"/>
      <c r="L47" s="185" t="str">
        <f>IF(G47="","",VLOOKUP($AN$5,'Bases - Cadastro'!A:C,3,0))</f>
        <v/>
      </c>
      <c r="M47" s="97"/>
      <c r="N47" s="97"/>
      <c r="O47" s="97"/>
      <c r="P47" s="98"/>
      <c r="Q47" s="194"/>
      <c r="R47" s="93"/>
      <c r="S47" s="93"/>
      <c r="T47" s="94"/>
      <c r="U47" s="95"/>
      <c r="V47" s="93"/>
      <c r="W47" s="93"/>
      <c r="X47" s="93"/>
      <c r="Y47" s="93"/>
      <c r="Z47" s="94"/>
      <c r="AA47" s="95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4"/>
      <c r="AO47" s="95"/>
      <c r="AP47" s="93"/>
      <c r="AQ47" s="94"/>
      <c r="AR47" s="187" t="str">
        <f>_xlfn.IFNA(VLOOKUP(AO47,'Bases - Cadastro'!$A$37:$B$62,2,0),"")</f>
        <v/>
      </c>
      <c r="AS47" s="97"/>
      <c r="AT47" s="98"/>
      <c r="AU47" s="92"/>
      <c r="AV47" s="93"/>
      <c r="AW47" s="93"/>
      <c r="AX47" s="93"/>
      <c r="AY47" s="93"/>
      <c r="AZ47" s="93"/>
      <c r="BA47" s="94"/>
    </row>
    <row r="48" spans="2:57" ht="14.1" customHeight="1" x14ac:dyDescent="0.25">
      <c r="B48" s="190"/>
      <c r="C48" s="93"/>
      <c r="D48" s="93"/>
      <c r="E48" s="93"/>
      <c r="F48" s="94"/>
      <c r="G48" s="185"/>
      <c r="H48" s="97"/>
      <c r="I48" s="97"/>
      <c r="J48" s="97"/>
      <c r="K48" s="98"/>
      <c r="L48" s="185" t="str">
        <f>IF(G48="","",VLOOKUP($AN$5,'Bases - Cadastro'!A:C,3,0))</f>
        <v/>
      </c>
      <c r="M48" s="97"/>
      <c r="N48" s="97"/>
      <c r="O48" s="97"/>
      <c r="P48" s="98"/>
      <c r="Q48" s="194"/>
      <c r="R48" s="93"/>
      <c r="S48" s="93"/>
      <c r="T48" s="94"/>
      <c r="U48" s="95"/>
      <c r="V48" s="93"/>
      <c r="W48" s="93"/>
      <c r="X48" s="93"/>
      <c r="Y48" s="93"/>
      <c r="Z48" s="94"/>
      <c r="AA48" s="95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4"/>
      <c r="AO48" s="95"/>
      <c r="AP48" s="93"/>
      <c r="AQ48" s="94"/>
      <c r="AR48" s="187" t="str">
        <f>_xlfn.IFNA(VLOOKUP(AO48,'Bases - Cadastro'!$A$37:$B$62,2,0),"")</f>
        <v/>
      </c>
      <c r="AS48" s="97"/>
      <c r="AT48" s="98"/>
      <c r="AU48" s="92"/>
      <c r="AV48" s="93"/>
      <c r="AW48" s="93"/>
      <c r="AX48" s="93"/>
      <c r="AY48" s="93"/>
      <c r="AZ48" s="93"/>
      <c r="BA48" s="94"/>
    </row>
    <row r="49" spans="2:53" ht="14.1" customHeight="1" x14ac:dyDescent="0.25">
      <c r="B49" s="190"/>
      <c r="C49" s="93"/>
      <c r="D49" s="93"/>
      <c r="E49" s="93"/>
      <c r="F49" s="94"/>
      <c r="G49" s="185"/>
      <c r="H49" s="97"/>
      <c r="I49" s="97"/>
      <c r="J49" s="97"/>
      <c r="K49" s="98"/>
      <c r="L49" s="185" t="str">
        <f>IF(G49="","",VLOOKUP($AN$5,'Bases - Cadastro'!A:C,3,0))</f>
        <v/>
      </c>
      <c r="M49" s="97"/>
      <c r="N49" s="97"/>
      <c r="O49" s="97"/>
      <c r="P49" s="98"/>
      <c r="Q49" s="194"/>
      <c r="R49" s="93"/>
      <c r="S49" s="93"/>
      <c r="T49" s="94"/>
      <c r="U49" s="95"/>
      <c r="V49" s="93"/>
      <c r="W49" s="93"/>
      <c r="X49" s="93"/>
      <c r="Y49" s="93"/>
      <c r="Z49" s="94"/>
      <c r="AA49" s="95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4"/>
      <c r="AO49" s="95"/>
      <c r="AP49" s="93"/>
      <c r="AQ49" s="94"/>
      <c r="AR49" s="187" t="str">
        <f>_xlfn.IFNA(VLOOKUP(AO49,'Bases - Cadastro'!$A$37:$B$62,2,0),"")</f>
        <v/>
      </c>
      <c r="AS49" s="97"/>
      <c r="AT49" s="98"/>
      <c r="AU49" s="92"/>
      <c r="AV49" s="93"/>
      <c r="AW49" s="93"/>
      <c r="AX49" s="93"/>
      <c r="AY49" s="93"/>
      <c r="AZ49" s="93"/>
      <c r="BA49" s="94"/>
    </row>
    <row r="50" spans="2:53" ht="14.1" customHeight="1" x14ac:dyDescent="0.25">
      <c r="B50" s="190"/>
      <c r="C50" s="93"/>
      <c r="D50" s="93"/>
      <c r="E50" s="93"/>
      <c r="F50" s="94"/>
      <c r="G50" s="185"/>
      <c r="H50" s="97"/>
      <c r="I50" s="97"/>
      <c r="J50" s="97"/>
      <c r="K50" s="98"/>
      <c r="L50" s="185" t="str">
        <f>IF(G50="","",VLOOKUP($AN$5,'Bases - Cadastro'!A:C,3,0))</f>
        <v/>
      </c>
      <c r="M50" s="97"/>
      <c r="N50" s="97"/>
      <c r="O50" s="97"/>
      <c r="P50" s="98"/>
      <c r="Q50" s="194"/>
      <c r="R50" s="93"/>
      <c r="S50" s="93"/>
      <c r="T50" s="94"/>
      <c r="U50" s="95"/>
      <c r="V50" s="93"/>
      <c r="W50" s="93"/>
      <c r="X50" s="93"/>
      <c r="Y50" s="93"/>
      <c r="Z50" s="94"/>
      <c r="AA50" s="95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4"/>
      <c r="AO50" s="95"/>
      <c r="AP50" s="93"/>
      <c r="AQ50" s="94"/>
      <c r="AR50" s="187" t="str">
        <f>_xlfn.IFNA(VLOOKUP(AO50,'Bases - Cadastro'!$A$37:$B$62,2,0),"")</f>
        <v/>
      </c>
      <c r="AS50" s="97"/>
      <c r="AT50" s="98"/>
      <c r="AU50" s="92"/>
      <c r="AV50" s="93"/>
      <c r="AW50" s="93"/>
      <c r="AX50" s="93"/>
      <c r="AY50" s="93"/>
      <c r="AZ50" s="93"/>
      <c r="BA50" s="94"/>
    </row>
    <row r="51" spans="2:53" ht="14.1" customHeight="1" x14ac:dyDescent="0.25">
      <c r="B51" s="190"/>
      <c r="C51" s="93"/>
      <c r="D51" s="93"/>
      <c r="E51" s="93"/>
      <c r="F51" s="94"/>
      <c r="G51" s="185"/>
      <c r="H51" s="97"/>
      <c r="I51" s="97"/>
      <c r="J51" s="97"/>
      <c r="K51" s="98"/>
      <c r="L51" s="185" t="str">
        <f>IF(G51="","",VLOOKUP($AN$5,'Bases - Cadastro'!A:C,3,0))</f>
        <v/>
      </c>
      <c r="M51" s="97"/>
      <c r="N51" s="97"/>
      <c r="O51" s="97"/>
      <c r="P51" s="98"/>
      <c r="Q51" s="194"/>
      <c r="R51" s="93"/>
      <c r="S51" s="93"/>
      <c r="T51" s="94"/>
      <c r="U51" s="95"/>
      <c r="V51" s="93"/>
      <c r="W51" s="93"/>
      <c r="X51" s="93"/>
      <c r="Y51" s="93"/>
      <c r="Z51" s="94"/>
      <c r="AA51" s="95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4"/>
      <c r="AO51" s="95"/>
      <c r="AP51" s="93"/>
      <c r="AQ51" s="94"/>
      <c r="AR51" s="187" t="str">
        <f>_xlfn.IFNA(VLOOKUP(AO51,'Bases - Cadastro'!$A$37:$B$62,2,0),"")</f>
        <v/>
      </c>
      <c r="AS51" s="97"/>
      <c r="AT51" s="98"/>
      <c r="AU51" s="92"/>
      <c r="AV51" s="93"/>
      <c r="AW51" s="93"/>
      <c r="AX51" s="93"/>
      <c r="AY51" s="93"/>
      <c r="AZ51" s="93"/>
      <c r="BA51" s="94"/>
    </row>
    <row r="52" spans="2:53" ht="14.1" customHeight="1" x14ac:dyDescent="0.25">
      <c r="B52" s="190"/>
      <c r="C52" s="93"/>
      <c r="D52" s="93"/>
      <c r="E52" s="93"/>
      <c r="F52" s="94"/>
      <c r="G52" s="185"/>
      <c r="H52" s="97"/>
      <c r="I52" s="97"/>
      <c r="J52" s="97"/>
      <c r="K52" s="98"/>
      <c r="L52" s="185" t="str">
        <f>IF(G52="","",VLOOKUP($AN$5,'Bases - Cadastro'!A:C,3,0))</f>
        <v/>
      </c>
      <c r="M52" s="97"/>
      <c r="N52" s="97"/>
      <c r="O52" s="97"/>
      <c r="P52" s="98"/>
      <c r="Q52" s="194"/>
      <c r="R52" s="93"/>
      <c r="S52" s="93"/>
      <c r="T52" s="94"/>
      <c r="U52" s="95"/>
      <c r="V52" s="93"/>
      <c r="W52" s="93"/>
      <c r="X52" s="93"/>
      <c r="Y52" s="93"/>
      <c r="Z52" s="94"/>
      <c r="AA52" s="95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4"/>
      <c r="AO52" s="95"/>
      <c r="AP52" s="93"/>
      <c r="AQ52" s="94"/>
      <c r="AR52" s="187" t="str">
        <f>_xlfn.IFNA(VLOOKUP(AO52,'Bases - Cadastro'!$A$37:$B$62,2,0),"")</f>
        <v/>
      </c>
      <c r="AS52" s="97"/>
      <c r="AT52" s="98"/>
      <c r="AU52" s="92"/>
      <c r="AV52" s="93"/>
      <c r="AW52" s="93"/>
      <c r="AX52" s="93"/>
      <c r="AY52" s="93"/>
      <c r="AZ52" s="93"/>
      <c r="BA52" s="94"/>
    </row>
    <row r="53" spans="2:53" ht="14.1" customHeight="1" x14ac:dyDescent="0.25">
      <c r="B53" s="190"/>
      <c r="C53" s="93"/>
      <c r="D53" s="93"/>
      <c r="E53" s="93"/>
      <c r="F53" s="94"/>
      <c r="G53" s="185"/>
      <c r="H53" s="97"/>
      <c r="I53" s="97"/>
      <c r="J53" s="97"/>
      <c r="K53" s="98"/>
      <c r="L53" s="185" t="str">
        <f>IF(G53="","",VLOOKUP($AN$5,'Bases - Cadastro'!A:C,3,0))</f>
        <v/>
      </c>
      <c r="M53" s="97"/>
      <c r="N53" s="97"/>
      <c r="O53" s="97"/>
      <c r="P53" s="98"/>
      <c r="Q53" s="194"/>
      <c r="R53" s="93"/>
      <c r="S53" s="93"/>
      <c r="T53" s="94"/>
      <c r="U53" s="95"/>
      <c r="V53" s="93"/>
      <c r="W53" s="93"/>
      <c r="X53" s="93"/>
      <c r="Y53" s="93"/>
      <c r="Z53" s="94"/>
      <c r="AA53" s="95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4"/>
      <c r="AO53" s="95"/>
      <c r="AP53" s="93"/>
      <c r="AQ53" s="94"/>
      <c r="AR53" s="187" t="str">
        <f>_xlfn.IFNA(VLOOKUP(AO53,'Bases - Cadastro'!$A$37:$B$62,2,0),"")</f>
        <v/>
      </c>
      <c r="AS53" s="97"/>
      <c r="AT53" s="98"/>
      <c r="AU53" s="92"/>
      <c r="AV53" s="93"/>
      <c r="AW53" s="93"/>
      <c r="AX53" s="93"/>
      <c r="AY53" s="93"/>
      <c r="AZ53" s="93"/>
      <c r="BA53" s="94"/>
    </row>
    <row r="54" spans="2:53" ht="14.1" customHeight="1" x14ac:dyDescent="0.25">
      <c r="B54" s="190"/>
      <c r="C54" s="93"/>
      <c r="D54" s="93"/>
      <c r="E54" s="93"/>
      <c r="F54" s="94"/>
      <c r="G54" s="185"/>
      <c r="H54" s="97"/>
      <c r="I54" s="97"/>
      <c r="J54" s="97"/>
      <c r="K54" s="98"/>
      <c r="L54" s="185" t="str">
        <f>IF(G54="","",VLOOKUP($AN$5,'Bases - Cadastro'!A:C,3,0))</f>
        <v/>
      </c>
      <c r="M54" s="97"/>
      <c r="N54" s="97"/>
      <c r="O54" s="97"/>
      <c r="P54" s="98"/>
      <c r="Q54" s="194"/>
      <c r="R54" s="93"/>
      <c r="S54" s="93"/>
      <c r="T54" s="94"/>
      <c r="U54" s="95"/>
      <c r="V54" s="93"/>
      <c r="W54" s="93"/>
      <c r="X54" s="93"/>
      <c r="Y54" s="93"/>
      <c r="Z54" s="94"/>
      <c r="AA54" s="95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4"/>
      <c r="AO54" s="95"/>
      <c r="AP54" s="93"/>
      <c r="AQ54" s="94"/>
      <c r="AR54" s="187" t="str">
        <f>_xlfn.IFNA(VLOOKUP(AO54,'Bases - Cadastro'!$A$37:$B$62,2,0),"")</f>
        <v/>
      </c>
      <c r="AS54" s="97"/>
      <c r="AT54" s="98"/>
      <c r="AU54" s="92"/>
      <c r="AV54" s="93"/>
      <c r="AW54" s="93"/>
      <c r="AX54" s="93"/>
      <c r="AY54" s="93"/>
      <c r="AZ54" s="93"/>
      <c r="BA54" s="94"/>
    </row>
    <row r="55" spans="2:53" ht="14.1" customHeight="1" x14ac:dyDescent="0.25">
      <c r="B55" s="190"/>
      <c r="C55" s="93"/>
      <c r="D55" s="93"/>
      <c r="E55" s="93"/>
      <c r="F55" s="94"/>
      <c r="G55" s="185"/>
      <c r="H55" s="97"/>
      <c r="I55" s="97"/>
      <c r="J55" s="97"/>
      <c r="K55" s="98"/>
      <c r="L55" s="185" t="str">
        <f>IF(G55="","",VLOOKUP($AN$5,'Bases - Cadastro'!A:C,3,0))</f>
        <v/>
      </c>
      <c r="M55" s="97"/>
      <c r="N55" s="97"/>
      <c r="O55" s="97"/>
      <c r="P55" s="98"/>
      <c r="Q55" s="194"/>
      <c r="R55" s="93"/>
      <c r="S55" s="93"/>
      <c r="T55" s="94"/>
      <c r="U55" s="95"/>
      <c r="V55" s="93"/>
      <c r="W55" s="93"/>
      <c r="X55" s="93"/>
      <c r="Y55" s="93"/>
      <c r="Z55" s="94"/>
      <c r="AA55" s="95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4"/>
      <c r="AO55" s="95"/>
      <c r="AP55" s="93"/>
      <c r="AQ55" s="94"/>
      <c r="AR55" s="187" t="str">
        <f>_xlfn.IFNA(VLOOKUP(AO55,'Bases - Cadastro'!$A$37:$B$62,2,0),"")</f>
        <v/>
      </c>
      <c r="AS55" s="97"/>
      <c r="AT55" s="98"/>
      <c r="AU55" s="92"/>
      <c r="AV55" s="93"/>
      <c r="AW55" s="93"/>
      <c r="AX55" s="93"/>
      <c r="AY55" s="93"/>
      <c r="AZ55" s="93"/>
      <c r="BA55" s="94"/>
    </row>
    <row r="56" spans="2:53" ht="14.1" customHeight="1" x14ac:dyDescent="0.25">
      <c r="B56" s="190"/>
      <c r="C56" s="93"/>
      <c r="D56" s="93"/>
      <c r="E56" s="93"/>
      <c r="F56" s="94"/>
      <c r="G56" s="185"/>
      <c r="H56" s="97"/>
      <c r="I56" s="97"/>
      <c r="J56" s="97"/>
      <c r="K56" s="98"/>
      <c r="L56" s="185" t="str">
        <f>IF(G56="","",VLOOKUP($AN$5,'Bases - Cadastro'!A:C,3,0))</f>
        <v/>
      </c>
      <c r="M56" s="97"/>
      <c r="N56" s="97"/>
      <c r="O56" s="97"/>
      <c r="P56" s="98"/>
      <c r="Q56" s="194"/>
      <c r="R56" s="93"/>
      <c r="S56" s="93"/>
      <c r="T56" s="94"/>
      <c r="U56" s="95"/>
      <c r="V56" s="93"/>
      <c r="W56" s="93"/>
      <c r="X56" s="93"/>
      <c r="Y56" s="93"/>
      <c r="Z56" s="94"/>
      <c r="AA56" s="95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4"/>
      <c r="AO56" s="95"/>
      <c r="AP56" s="93"/>
      <c r="AQ56" s="94"/>
      <c r="AR56" s="187" t="str">
        <f>_xlfn.IFNA(VLOOKUP(AO56,'Bases - Cadastro'!$A$37:$B$62,2,0),"")</f>
        <v/>
      </c>
      <c r="AS56" s="97"/>
      <c r="AT56" s="98"/>
      <c r="AU56" s="92"/>
      <c r="AV56" s="93"/>
      <c r="AW56" s="93"/>
      <c r="AX56" s="93"/>
      <c r="AY56" s="93"/>
      <c r="AZ56" s="93"/>
      <c r="BA56" s="94"/>
    </row>
    <row r="57" spans="2:53" ht="14.1" customHeight="1" x14ac:dyDescent="0.25">
      <c r="B57" s="190"/>
      <c r="C57" s="93"/>
      <c r="D57" s="93"/>
      <c r="E57" s="93"/>
      <c r="F57" s="94"/>
      <c r="G57" s="185"/>
      <c r="H57" s="97"/>
      <c r="I57" s="97"/>
      <c r="J57" s="97"/>
      <c r="K57" s="98"/>
      <c r="L57" s="185" t="str">
        <f>IF(G57="","",VLOOKUP($AN$5,'Bases - Cadastro'!A:C,3,0))</f>
        <v/>
      </c>
      <c r="M57" s="97"/>
      <c r="N57" s="97"/>
      <c r="O57" s="97"/>
      <c r="P57" s="98"/>
      <c r="Q57" s="194"/>
      <c r="R57" s="93"/>
      <c r="S57" s="93"/>
      <c r="T57" s="94"/>
      <c r="U57" s="95"/>
      <c r="V57" s="93"/>
      <c r="W57" s="93"/>
      <c r="X57" s="93"/>
      <c r="Y57" s="93"/>
      <c r="Z57" s="94"/>
      <c r="AA57" s="95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4"/>
      <c r="AO57" s="95"/>
      <c r="AP57" s="93"/>
      <c r="AQ57" s="94"/>
      <c r="AR57" s="187" t="str">
        <f>_xlfn.IFNA(VLOOKUP(AO57,'Bases - Cadastro'!$A$37:$B$62,2,0),"")</f>
        <v/>
      </c>
      <c r="AS57" s="97"/>
      <c r="AT57" s="98"/>
      <c r="AU57" s="92"/>
      <c r="AV57" s="93"/>
      <c r="AW57" s="93"/>
      <c r="AX57" s="93"/>
      <c r="AY57" s="93"/>
      <c r="AZ57" s="93"/>
      <c r="BA57" s="94"/>
    </row>
    <row r="58" spans="2:53" ht="14.1" customHeight="1" x14ac:dyDescent="0.25">
      <c r="B58" s="190"/>
      <c r="C58" s="93"/>
      <c r="D58" s="93"/>
      <c r="E58" s="93"/>
      <c r="F58" s="94"/>
      <c r="G58" s="185"/>
      <c r="H58" s="97"/>
      <c r="I58" s="97"/>
      <c r="J58" s="97"/>
      <c r="K58" s="98"/>
      <c r="L58" s="185" t="str">
        <f>IF(G58="","",VLOOKUP($AN$5,'Bases - Cadastro'!A:C,3,0))</f>
        <v/>
      </c>
      <c r="M58" s="97"/>
      <c r="N58" s="97"/>
      <c r="O58" s="97"/>
      <c r="P58" s="98"/>
      <c r="Q58" s="194"/>
      <c r="R58" s="93"/>
      <c r="S58" s="93"/>
      <c r="T58" s="94"/>
      <c r="U58" s="95"/>
      <c r="V58" s="93"/>
      <c r="W58" s="93"/>
      <c r="X58" s="93"/>
      <c r="Y58" s="93"/>
      <c r="Z58" s="94"/>
      <c r="AA58" s="95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4"/>
      <c r="AO58" s="95"/>
      <c r="AP58" s="93"/>
      <c r="AQ58" s="94"/>
      <c r="AR58" s="187" t="str">
        <f>_xlfn.IFNA(VLOOKUP(AO58,'Bases - Cadastro'!$A$37:$B$62,2,0),"")</f>
        <v/>
      </c>
      <c r="AS58" s="97"/>
      <c r="AT58" s="98"/>
      <c r="AU58" s="184"/>
      <c r="AV58" s="93"/>
      <c r="AW58" s="93"/>
      <c r="AX58" s="93"/>
      <c r="AY58" s="93"/>
      <c r="AZ58" s="93"/>
      <c r="BA58" s="94"/>
    </row>
    <row r="59" spans="2:53" ht="14.1" customHeight="1" x14ac:dyDescent="0.25">
      <c r="B59" s="190"/>
      <c r="C59" s="93"/>
      <c r="D59" s="93"/>
      <c r="E59" s="93"/>
      <c r="F59" s="94"/>
      <c r="G59" s="185"/>
      <c r="H59" s="97"/>
      <c r="I59" s="97"/>
      <c r="J59" s="97"/>
      <c r="K59" s="98"/>
      <c r="L59" s="185" t="str">
        <f>IF(G59="","",VLOOKUP($AN$5,'Bases - Cadastro'!A:C,3,0))</f>
        <v/>
      </c>
      <c r="M59" s="97"/>
      <c r="N59" s="97"/>
      <c r="O59" s="97"/>
      <c r="P59" s="98"/>
      <c r="Q59" s="194"/>
      <c r="R59" s="93"/>
      <c r="S59" s="93"/>
      <c r="T59" s="94"/>
      <c r="U59" s="95"/>
      <c r="V59" s="93"/>
      <c r="W59" s="93"/>
      <c r="X59" s="93"/>
      <c r="Y59" s="93"/>
      <c r="Z59" s="94"/>
      <c r="AA59" s="95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4"/>
      <c r="AO59" s="95"/>
      <c r="AP59" s="93"/>
      <c r="AQ59" s="94"/>
      <c r="AR59" s="187" t="str">
        <f>_xlfn.IFNA(VLOOKUP(AO59,'Bases - Cadastro'!$A$37:$B$62,2,0),"")</f>
        <v/>
      </c>
      <c r="AS59" s="97"/>
      <c r="AT59" s="98"/>
      <c r="AU59" s="184"/>
      <c r="AV59" s="93"/>
      <c r="AW59" s="93"/>
      <c r="AX59" s="93"/>
      <c r="AY59" s="93"/>
      <c r="AZ59" s="93"/>
      <c r="BA59" s="94"/>
    </row>
    <row r="60" spans="2:53" ht="14.1" customHeight="1" x14ac:dyDescent="0.25">
      <c r="B60" s="190"/>
      <c r="C60" s="93"/>
      <c r="D60" s="93"/>
      <c r="E60" s="93"/>
      <c r="F60" s="94"/>
      <c r="G60" s="185"/>
      <c r="H60" s="97"/>
      <c r="I60" s="97"/>
      <c r="J60" s="97"/>
      <c r="K60" s="98"/>
      <c r="L60" s="185" t="str">
        <f>IF(G60="","",VLOOKUP($AN$5,'Bases - Cadastro'!A:C,3,0))</f>
        <v/>
      </c>
      <c r="M60" s="97"/>
      <c r="N60" s="97"/>
      <c r="O60" s="97"/>
      <c r="P60" s="98"/>
      <c r="Q60" s="194"/>
      <c r="R60" s="93"/>
      <c r="S60" s="93"/>
      <c r="T60" s="94"/>
      <c r="U60" s="95"/>
      <c r="V60" s="93"/>
      <c r="W60" s="93"/>
      <c r="X60" s="93"/>
      <c r="Y60" s="93"/>
      <c r="Z60" s="94"/>
      <c r="AA60" s="95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4"/>
      <c r="AO60" s="95"/>
      <c r="AP60" s="93"/>
      <c r="AQ60" s="94"/>
      <c r="AR60" s="187" t="str">
        <f>_xlfn.IFNA(VLOOKUP(AO60,'Bases - Cadastro'!$A$37:$B$62,2,0),"")</f>
        <v/>
      </c>
      <c r="AS60" s="97"/>
      <c r="AT60" s="98"/>
      <c r="AU60" s="184"/>
      <c r="AV60" s="93"/>
      <c r="AW60" s="93"/>
      <c r="AX60" s="93"/>
      <c r="AY60" s="93"/>
      <c r="AZ60" s="93"/>
      <c r="BA60" s="94"/>
    </row>
    <row r="61" spans="2:53" ht="14.1" customHeight="1" x14ac:dyDescent="0.25">
      <c r="B61" s="190"/>
      <c r="C61" s="93"/>
      <c r="D61" s="93"/>
      <c r="E61" s="93"/>
      <c r="F61" s="94"/>
      <c r="G61" s="185"/>
      <c r="H61" s="97"/>
      <c r="I61" s="97"/>
      <c r="J61" s="97"/>
      <c r="K61" s="98"/>
      <c r="L61" s="185" t="str">
        <f>IF(G61="","",VLOOKUP($AN$5,'Bases - Cadastro'!A:C,3,0))</f>
        <v/>
      </c>
      <c r="M61" s="97"/>
      <c r="N61" s="97"/>
      <c r="O61" s="97"/>
      <c r="P61" s="98"/>
      <c r="Q61" s="194"/>
      <c r="R61" s="93"/>
      <c r="S61" s="93"/>
      <c r="T61" s="94"/>
      <c r="U61" s="95"/>
      <c r="V61" s="93"/>
      <c r="W61" s="93"/>
      <c r="X61" s="93"/>
      <c r="Y61" s="93"/>
      <c r="Z61" s="94"/>
      <c r="AA61" s="95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4"/>
      <c r="AO61" s="95"/>
      <c r="AP61" s="93"/>
      <c r="AQ61" s="94"/>
      <c r="AR61" s="187" t="str">
        <f>_xlfn.IFNA(VLOOKUP(AO61,'Bases - Cadastro'!$A$37:$B$62,2,0),"")</f>
        <v/>
      </c>
      <c r="AS61" s="97"/>
      <c r="AT61" s="98"/>
      <c r="AU61" s="184"/>
      <c r="AV61" s="93"/>
      <c r="AW61" s="93"/>
      <c r="AX61" s="93"/>
      <c r="AY61" s="93"/>
      <c r="AZ61" s="93"/>
      <c r="BA61" s="94"/>
    </row>
    <row r="62" spans="2:53" ht="14.1" customHeight="1" x14ac:dyDescent="0.25">
      <c r="B62" s="190"/>
      <c r="C62" s="93"/>
      <c r="D62" s="93"/>
      <c r="E62" s="93"/>
      <c r="F62" s="94"/>
      <c r="G62" s="185"/>
      <c r="H62" s="97"/>
      <c r="I62" s="97"/>
      <c r="J62" s="97"/>
      <c r="K62" s="98"/>
      <c r="L62" s="185" t="str">
        <f>IF(G62="","",VLOOKUP($AN$5,'Bases - Cadastro'!A:C,3,0))</f>
        <v/>
      </c>
      <c r="M62" s="97"/>
      <c r="N62" s="97"/>
      <c r="O62" s="97"/>
      <c r="P62" s="98"/>
      <c r="Q62" s="194"/>
      <c r="R62" s="93"/>
      <c r="S62" s="93"/>
      <c r="T62" s="94"/>
      <c r="U62" s="95"/>
      <c r="V62" s="93"/>
      <c r="W62" s="93"/>
      <c r="X62" s="93"/>
      <c r="Y62" s="93"/>
      <c r="Z62" s="94"/>
      <c r="AA62" s="95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4"/>
      <c r="AO62" s="95"/>
      <c r="AP62" s="93"/>
      <c r="AQ62" s="94"/>
      <c r="AR62" s="187" t="str">
        <f>_xlfn.IFNA(VLOOKUP(AO62,'Bases - Cadastro'!$A$37:$B$62,2,0),"")</f>
        <v/>
      </c>
      <c r="AS62" s="97"/>
      <c r="AT62" s="98"/>
      <c r="AU62" s="184"/>
      <c r="AV62" s="93"/>
      <c r="AW62" s="93"/>
      <c r="AX62" s="93"/>
      <c r="AY62" s="93"/>
      <c r="AZ62" s="93"/>
      <c r="BA62" s="94"/>
    </row>
    <row r="63" spans="2:53" ht="13.95" customHeight="1" x14ac:dyDescent="0.25">
      <c r="B63" s="190"/>
      <c r="C63" s="93"/>
      <c r="D63" s="93"/>
      <c r="E63" s="93"/>
      <c r="F63" s="94"/>
      <c r="G63" s="185"/>
      <c r="H63" s="97"/>
      <c r="I63" s="97"/>
      <c r="J63" s="97"/>
      <c r="K63" s="98"/>
      <c r="L63" s="185" t="str">
        <f>IF(G63="","",VLOOKUP($AN$5,'Bases - Cadastro'!A:C,3,0))</f>
        <v/>
      </c>
      <c r="M63" s="97"/>
      <c r="N63" s="97"/>
      <c r="O63" s="97"/>
      <c r="P63" s="98"/>
      <c r="Q63" s="194"/>
      <c r="R63" s="93"/>
      <c r="S63" s="93"/>
      <c r="T63" s="94"/>
      <c r="U63" s="95"/>
      <c r="V63" s="93"/>
      <c r="W63" s="93"/>
      <c r="X63" s="93"/>
      <c r="Y63" s="93"/>
      <c r="Z63" s="94"/>
      <c r="AA63" s="95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4"/>
      <c r="AO63" s="95"/>
      <c r="AP63" s="93"/>
      <c r="AQ63" s="94"/>
      <c r="AR63" s="187" t="str">
        <f>_xlfn.IFNA(VLOOKUP(AO63,'Bases - Cadastro'!$A$37:$B$62,2,0),"")</f>
        <v/>
      </c>
      <c r="AS63" s="97"/>
      <c r="AT63" s="98"/>
      <c r="AU63" s="184"/>
      <c r="AV63" s="93"/>
      <c r="AW63" s="93"/>
      <c r="AX63" s="93"/>
      <c r="AY63" s="93"/>
      <c r="AZ63" s="93"/>
      <c r="BA63" s="94"/>
    </row>
    <row r="64" spans="2:53" ht="13.95" customHeight="1" x14ac:dyDescent="0.25">
      <c r="B64" s="190"/>
      <c r="C64" s="93"/>
      <c r="D64" s="93"/>
      <c r="E64" s="93"/>
      <c r="F64" s="94"/>
      <c r="G64" s="185"/>
      <c r="H64" s="97"/>
      <c r="I64" s="97"/>
      <c r="J64" s="97"/>
      <c r="K64" s="98"/>
      <c r="L64" s="185" t="str">
        <f>IF(G64="","",VLOOKUP($AN$5,'Bases - Cadastro'!A:C,3,0))</f>
        <v/>
      </c>
      <c r="M64" s="97"/>
      <c r="N64" s="97"/>
      <c r="O64" s="97"/>
      <c r="P64" s="98"/>
      <c r="Q64" s="194"/>
      <c r="R64" s="93"/>
      <c r="S64" s="93"/>
      <c r="T64" s="94"/>
      <c r="U64" s="95"/>
      <c r="V64" s="93"/>
      <c r="W64" s="93"/>
      <c r="X64" s="93"/>
      <c r="Y64" s="93"/>
      <c r="Z64" s="94"/>
      <c r="AA64" s="95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4"/>
      <c r="AO64" s="95"/>
      <c r="AP64" s="93"/>
      <c r="AQ64" s="94"/>
      <c r="AR64" s="187" t="str">
        <f>_xlfn.IFNA(VLOOKUP(AO64,'Bases - Cadastro'!$A$37:$B$62,2,0),"")</f>
        <v/>
      </c>
      <c r="AS64" s="97"/>
      <c r="AT64" s="98"/>
      <c r="AU64" s="196"/>
      <c r="AV64" s="93"/>
      <c r="AW64" s="93"/>
      <c r="AX64" s="93"/>
      <c r="AY64" s="93"/>
      <c r="AZ64" s="93"/>
      <c r="BA64" s="94"/>
    </row>
    <row r="65" spans="2:57" ht="13.95" customHeight="1" x14ac:dyDescent="0.25">
      <c r="B65" s="190"/>
      <c r="C65" s="93"/>
      <c r="D65" s="93"/>
      <c r="E65" s="93"/>
      <c r="F65" s="94"/>
      <c r="G65" s="185"/>
      <c r="H65" s="97"/>
      <c r="I65" s="97"/>
      <c r="J65" s="97"/>
      <c r="K65" s="98"/>
      <c r="L65" s="185" t="str">
        <f>IF(G65="","",VLOOKUP($AN$5,'Bases - Cadastro'!A:C,3,0))</f>
        <v/>
      </c>
      <c r="M65" s="97"/>
      <c r="N65" s="97"/>
      <c r="O65" s="97"/>
      <c r="P65" s="98"/>
      <c r="Q65" s="194"/>
      <c r="R65" s="93"/>
      <c r="S65" s="93"/>
      <c r="T65" s="94"/>
      <c r="U65" s="95"/>
      <c r="V65" s="93"/>
      <c r="W65" s="93"/>
      <c r="X65" s="93"/>
      <c r="Y65" s="93"/>
      <c r="Z65" s="94"/>
      <c r="AA65" s="95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4"/>
      <c r="AO65" s="95"/>
      <c r="AP65" s="93"/>
      <c r="AQ65" s="94"/>
      <c r="AR65" s="187" t="str">
        <f>_xlfn.IFNA(VLOOKUP(AO65,'Bases - Cadastro'!$A$37:$B$62,2,0),"")</f>
        <v/>
      </c>
      <c r="AS65" s="97"/>
      <c r="AT65" s="98"/>
      <c r="AU65" s="196"/>
      <c r="AV65" s="93"/>
      <c r="AW65" s="93"/>
      <c r="AX65" s="93"/>
      <c r="AY65" s="93"/>
      <c r="AZ65" s="93"/>
      <c r="BA65" s="94"/>
    </row>
    <row r="66" spans="2:57" ht="13.95" customHeight="1" x14ac:dyDescent="0.25">
      <c r="B66" s="190"/>
      <c r="C66" s="93"/>
      <c r="D66" s="93"/>
      <c r="E66" s="93"/>
      <c r="F66" s="94"/>
      <c r="G66" s="185"/>
      <c r="H66" s="97"/>
      <c r="I66" s="97"/>
      <c r="J66" s="97"/>
      <c r="K66" s="98"/>
      <c r="L66" s="185" t="str">
        <f>IF(G66="","",VLOOKUP($AN$5,'Bases - Cadastro'!A:C,3,0))</f>
        <v/>
      </c>
      <c r="M66" s="97"/>
      <c r="N66" s="97"/>
      <c r="O66" s="97"/>
      <c r="P66" s="98"/>
      <c r="Q66" s="194"/>
      <c r="R66" s="93"/>
      <c r="S66" s="93"/>
      <c r="T66" s="94"/>
      <c r="U66" s="95"/>
      <c r="V66" s="93"/>
      <c r="W66" s="93"/>
      <c r="X66" s="93"/>
      <c r="Y66" s="93"/>
      <c r="Z66" s="94"/>
      <c r="AA66" s="95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4"/>
      <c r="AO66" s="95"/>
      <c r="AP66" s="93"/>
      <c r="AQ66" s="94"/>
      <c r="AR66" s="187" t="str">
        <f>_xlfn.IFNA(VLOOKUP(AO66,'Bases - Cadastro'!$A$37:$B$62,2,0),"")</f>
        <v/>
      </c>
      <c r="AS66" s="97"/>
      <c r="AT66" s="98"/>
      <c r="AU66" s="196"/>
      <c r="AV66" s="93"/>
      <c r="AW66" s="93"/>
      <c r="AX66" s="93"/>
      <c r="AY66" s="93"/>
      <c r="AZ66" s="93"/>
      <c r="BA66" s="94"/>
    </row>
    <row r="67" spans="2:57" ht="13.5" customHeight="1" x14ac:dyDescent="0.25">
      <c r="B67" s="203" t="s">
        <v>43</v>
      </c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8"/>
      <c r="AU67" s="140">
        <f>SUM(AU29:BA66)</f>
        <v>1384.31</v>
      </c>
      <c r="AV67" s="97"/>
      <c r="AW67" s="97"/>
      <c r="AX67" s="97"/>
      <c r="AY67" s="97"/>
      <c r="AZ67" s="97"/>
      <c r="BA67" s="98"/>
      <c r="BE67" s="71"/>
    </row>
    <row r="68" spans="2:57" ht="11.25" customHeight="1" thickBot="1" x14ac:dyDescent="0.3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AE68" s="16"/>
      <c r="AF68" s="36"/>
      <c r="AG68" s="3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37"/>
      <c r="AU68" s="37"/>
      <c r="AV68" s="37"/>
      <c r="AW68" s="37"/>
      <c r="AX68" s="37"/>
      <c r="AY68" s="37"/>
      <c r="AZ68" s="37"/>
      <c r="BA68" s="37"/>
    </row>
    <row r="69" spans="2:57" ht="14.25" customHeight="1" thickBot="1" x14ac:dyDescent="0.3">
      <c r="B69" s="16"/>
      <c r="C69" s="89" t="s">
        <v>44</v>
      </c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1"/>
      <c r="S69" s="21"/>
      <c r="T69" s="21"/>
      <c r="U69" s="89" t="s">
        <v>45</v>
      </c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1"/>
      <c r="AH69" s="38"/>
    </row>
    <row r="70" spans="2:57" ht="14.25" customHeight="1" thickBot="1" x14ac:dyDescent="0.3">
      <c r="B70" s="16"/>
      <c r="C70" s="89" t="s">
        <v>32</v>
      </c>
      <c r="D70" s="90"/>
      <c r="E70" s="90"/>
      <c r="F70" s="90"/>
      <c r="G70" s="91"/>
      <c r="H70" s="89" t="s">
        <v>47</v>
      </c>
      <c r="I70" s="90"/>
      <c r="J70" s="90"/>
      <c r="K70" s="90"/>
      <c r="L70" s="90"/>
      <c r="M70" s="90"/>
      <c r="N70" s="90"/>
      <c r="O70" s="90"/>
      <c r="P70" s="90"/>
      <c r="Q70" s="90"/>
      <c r="R70" s="91"/>
      <c r="S70" s="21"/>
      <c r="T70" s="21"/>
      <c r="U70" s="89" t="s">
        <v>32</v>
      </c>
      <c r="V70" s="91"/>
      <c r="W70" s="89" t="s">
        <v>47</v>
      </c>
      <c r="X70" s="90"/>
      <c r="Y70" s="90"/>
      <c r="Z70" s="90"/>
      <c r="AA70" s="90"/>
      <c r="AB70" s="90"/>
      <c r="AC70" s="90"/>
      <c r="AD70" s="90"/>
      <c r="AE70" s="90"/>
      <c r="AF70" s="90"/>
      <c r="AG70" s="91"/>
      <c r="AH70" s="38"/>
    </row>
    <row r="71" spans="2:57" ht="45" customHeight="1" thickBot="1" x14ac:dyDescent="0.3">
      <c r="B71" s="16"/>
      <c r="C71" s="191"/>
      <c r="D71" s="90"/>
      <c r="E71" s="90"/>
      <c r="F71" s="90"/>
      <c r="G71" s="91"/>
      <c r="H71" s="123"/>
      <c r="I71" s="117"/>
      <c r="J71" s="117"/>
      <c r="K71" s="117"/>
      <c r="L71" s="117"/>
      <c r="M71" s="117"/>
      <c r="N71" s="117"/>
      <c r="O71" s="117"/>
      <c r="P71" s="117"/>
      <c r="Q71" s="117"/>
      <c r="R71" s="118"/>
      <c r="S71" s="16"/>
      <c r="T71" s="16"/>
      <c r="U71" s="122"/>
      <c r="V71" s="118"/>
      <c r="W71" s="123"/>
      <c r="X71" s="117"/>
      <c r="Y71" s="117"/>
      <c r="Z71" s="117"/>
      <c r="AA71" s="117"/>
      <c r="AB71" s="117"/>
      <c r="AC71" s="117"/>
      <c r="AD71" s="117"/>
      <c r="AE71" s="117"/>
      <c r="AF71" s="117"/>
      <c r="AG71" s="118"/>
      <c r="AH71" s="38"/>
    </row>
    <row r="72" spans="2:57" ht="16.5" customHeight="1" x14ac:dyDescent="0.25">
      <c r="B72" s="16"/>
      <c r="C72" s="16"/>
      <c r="D72" s="1"/>
      <c r="E72" s="1"/>
      <c r="F72" s="1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</row>
    <row r="73" spans="2:57" ht="15" customHeight="1" x14ac:dyDescent="0.25">
      <c r="B73" s="39"/>
      <c r="C73" s="40"/>
      <c r="D73" s="41" t="s">
        <v>48</v>
      </c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1" t="s">
        <v>661</v>
      </c>
      <c r="Q73" s="40"/>
      <c r="R73" s="40"/>
      <c r="S73" s="40"/>
      <c r="T73" s="40"/>
      <c r="U73" s="42"/>
      <c r="V73" s="197">
        <f>SUM(V74:Z85)</f>
        <v>0</v>
      </c>
      <c r="W73" s="97"/>
      <c r="X73" s="97"/>
      <c r="Y73" s="97"/>
      <c r="Z73" s="98"/>
      <c r="AA73" s="43"/>
      <c r="AB73" s="43"/>
      <c r="AC73" s="43"/>
      <c r="AD73" s="180" t="s">
        <v>46</v>
      </c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7"/>
      <c r="BA73" s="98"/>
    </row>
    <row r="74" spans="2:57" ht="12" customHeight="1" x14ac:dyDescent="0.25">
      <c r="B74" s="136">
        <v>1</v>
      </c>
      <c r="C74" s="126"/>
      <c r="D74" s="193" t="str">
        <f>'Bases - Cadastro'!A38</f>
        <v>PR50050001 -  Material uso e consumo PROADI SUS</v>
      </c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1"/>
      <c r="P74" s="188" t="str">
        <f>'Bases - Cadastro'!D38</f>
        <v>263020 Reembolso de Material de Uso e Consumo PROADI SUS</v>
      </c>
      <c r="Q74" s="100"/>
      <c r="R74" s="100"/>
      <c r="S74" s="100"/>
      <c r="T74" s="100"/>
      <c r="U74" s="101"/>
      <c r="V74" s="201">
        <f t="shared" ref="V74:V85" si="0">SUMIF($AR$29:$AT$66,P74,$AU$29:$BA$66)</f>
        <v>0</v>
      </c>
      <c r="W74" s="125"/>
      <c r="X74" s="125"/>
      <c r="Y74" s="125"/>
      <c r="Z74" s="126"/>
      <c r="AA74" s="44"/>
      <c r="AB74" s="44"/>
      <c r="AC74" s="44"/>
      <c r="AD74" s="205"/>
      <c r="AE74" s="130"/>
      <c r="AF74" s="130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6"/>
    </row>
    <row r="75" spans="2:57" ht="12" customHeight="1" x14ac:dyDescent="0.25">
      <c r="B75" s="128">
        <v>2</v>
      </c>
      <c r="C75" s="101"/>
      <c r="D75" s="193" t="str">
        <f>'Bases - Cadastro'!A39</f>
        <v>PR50060002 -  Refeições e Lanches PROADI SUS</v>
      </c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1"/>
      <c r="P75" s="188" t="str">
        <f>'Bases - Cadastro'!D39</f>
        <v>263018 Reembolso de Refeições e Lanches PROADI SUS</v>
      </c>
      <c r="Q75" s="100"/>
      <c r="R75" s="100"/>
      <c r="S75" s="100"/>
      <c r="T75" s="100"/>
      <c r="U75" s="101"/>
      <c r="V75" s="186">
        <f t="shared" si="0"/>
        <v>0</v>
      </c>
      <c r="W75" s="100"/>
      <c r="X75" s="100"/>
      <c r="Y75" s="100"/>
      <c r="Z75" s="101"/>
      <c r="AA75" s="47"/>
      <c r="AB75" s="47"/>
      <c r="AC75" s="47"/>
      <c r="AD75" s="206"/>
      <c r="AE75" s="103"/>
      <c r="AF75" s="103"/>
      <c r="AG75" s="204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3"/>
      <c r="AS75" s="103"/>
      <c r="AT75" s="103"/>
      <c r="AU75" s="103"/>
      <c r="AV75" s="103"/>
      <c r="AW75" s="48"/>
      <c r="AX75" s="48"/>
      <c r="AY75" s="48"/>
      <c r="AZ75" s="48"/>
      <c r="BA75" s="49"/>
    </row>
    <row r="76" spans="2:57" ht="12" customHeight="1" x14ac:dyDescent="0.25">
      <c r="B76" s="128">
        <v>3</v>
      </c>
      <c r="C76" s="101"/>
      <c r="D76" s="193" t="str">
        <f>'Bases - Cadastro'!A40</f>
        <v>PR50060003 -  Condução e Transporte PROADI SUS</v>
      </c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1"/>
      <c r="P76" s="188" t="str">
        <f>'Bases - Cadastro'!D40</f>
        <v>263962 Reembolso de Condução e Transporte PROADI SUS</v>
      </c>
      <c r="Q76" s="100"/>
      <c r="R76" s="100"/>
      <c r="S76" s="100"/>
      <c r="T76" s="100"/>
      <c r="U76" s="101"/>
      <c r="V76" s="186">
        <f t="shared" si="0"/>
        <v>0</v>
      </c>
      <c r="W76" s="100"/>
      <c r="X76" s="100"/>
      <c r="Y76" s="100"/>
      <c r="Z76" s="101"/>
      <c r="AA76" s="47"/>
      <c r="AB76" s="47"/>
      <c r="AC76" s="47"/>
      <c r="AD76" s="206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48"/>
      <c r="AX76" s="48"/>
      <c r="AY76" s="48"/>
      <c r="AZ76" s="48"/>
      <c r="BA76" s="49"/>
    </row>
    <row r="77" spans="2:57" ht="12" customHeight="1" x14ac:dyDescent="0.25">
      <c r="B77" s="128">
        <v>4</v>
      </c>
      <c r="C77" s="101"/>
      <c r="D77" s="193" t="str">
        <f>'Bases - Cadastro'!A41</f>
        <v>PR50060004 -  Passagens Aereas PROADI SUS</v>
      </c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1"/>
      <c r="P77" s="188" t="str">
        <f>'Bases - Cadastro'!D41</f>
        <v>263021 Reembolso de Passagem Aérea PROADI SUS</v>
      </c>
      <c r="Q77" s="100"/>
      <c r="R77" s="100"/>
      <c r="S77" s="100"/>
      <c r="T77" s="100"/>
      <c r="U77" s="101"/>
      <c r="V77" s="186">
        <f t="shared" si="0"/>
        <v>0</v>
      </c>
      <c r="W77" s="100"/>
      <c r="X77" s="100"/>
      <c r="Y77" s="100"/>
      <c r="Z77" s="101"/>
      <c r="AA77" s="47"/>
      <c r="AB77" s="47"/>
      <c r="AC77" s="47"/>
      <c r="AD77" s="50"/>
      <c r="AE77" s="48"/>
      <c r="AF77" s="48"/>
      <c r="AG77" s="207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  <c r="AT77" s="103"/>
      <c r="AU77" s="103"/>
      <c r="AV77" s="103"/>
      <c r="AW77" s="48"/>
      <c r="AX77" s="48"/>
      <c r="AY77" s="48"/>
      <c r="AZ77" s="48"/>
      <c r="BA77" s="49"/>
    </row>
    <row r="78" spans="2:57" ht="12" customHeight="1" x14ac:dyDescent="0.25">
      <c r="B78" s="128">
        <v>5</v>
      </c>
      <c r="C78" s="101"/>
      <c r="D78" s="193" t="str">
        <f>'Bases - Cadastro'!A42</f>
        <v>PR50060005 -  Hospedagem PROADI SUS</v>
      </c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1"/>
      <c r="P78" s="188" t="str">
        <f>'Bases - Cadastro'!D42</f>
        <v>263022 Reembolso de Hospedagem PROADI SUS</v>
      </c>
      <c r="Q78" s="100"/>
      <c r="R78" s="100"/>
      <c r="S78" s="100"/>
      <c r="T78" s="100"/>
      <c r="U78" s="101"/>
      <c r="V78" s="186">
        <f t="shared" si="0"/>
        <v>0</v>
      </c>
      <c r="W78" s="100"/>
      <c r="X78" s="100"/>
      <c r="Y78" s="100"/>
      <c r="Z78" s="101"/>
      <c r="AA78" s="47"/>
      <c r="AB78" s="47"/>
      <c r="AC78" s="47"/>
      <c r="AD78" s="50"/>
      <c r="AE78" s="48"/>
      <c r="AF78" s="48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48"/>
      <c r="AX78" s="48"/>
      <c r="AY78" s="48"/>
      <c r="AZ78" s="48"/>
      <c r="BA78" s="49"/>
    </row>
    <row r="79" spans="2:57" ht="12" customHeight="1" x14ac:dyDescent="0.25">
      <c r="B79" s="128">
        <v>6</v>
      </c>
      <c r="C79" s="101"/>
      <c r="D79" s="193" t="str">
        <f>'Bases - Cadastro'!A43</f>
        <v>PR50060006 -  Taxas de Viagens, Eventos e Congressos PROADI SUS</v>
      </c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1"/>
      <c r="P79" s="188" t="str">
        <f>'Bases - Cadastro'!D43</f>
        <v>263023 Reembolso de Inscrições de Eventos PROADI SUS</v>
      </c>
      <c r="Q79" s="100"/>
      <c r="R79" s="100"/>
      <c r="S79" s="100"/>
      <c r="T79" s="100"/>
      <c r="U79" s="101"/>
      <c r="V79" s="186">
        <f t="shared" si="0"/>
        <v>0</v>
      </c>
      <c r="W79" s="100"/>
      <c r="X79" s="100"/>
      <c r="Y79" s="100"/>
      <c r="Z79" s="101"/>
      <c r="AA79" s="47"/>
      <c r="AB79" s="47"/>
      <c r="AC79" s="47"/>
      <c r="AD79" s="50"/>
      <c r="AE79" s="48"/>
      <c r="AF79" s="48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48"/>
      <c r="AX79" s="48"/>
      <c r="AY79" s="48"/>
      <c r="AZ79" s="48"/>
      <c r="BA79" s="49"/>
    </row>
    <row r="80" spans="2:57" ht="12" customHeight="1" x14ac:dyDescent="0.25">
      <c r="B80" s="128">
        <v>7</v>
      </c>
      <c r="C80" s="101"/>
      <c r="D80" s="193" t="str">
        <f>'Bases - Cadastro'!A44</f>
        <v>PR50090003 -  Custas de cartório PROADI SUS</v>
      </c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1"/>
      <c r="P80" s="188" t="str">
        <f>'Bases - Cadastro'!D44</f>
        <v>263017 Reembolso de Cartório PROADI SUS</v>
      </c>
      <c r="Q80" s="100"/>
      <c r="R80" s="100"/>
      <c r="S80" s="100"/>
      <c r="T80" s="100"/>
      <c r="U80" s="101"/>
      <c r="V80" s="186">
        <f t="shared" si="0"/>
        <v>0</v>
      </c>
      <c r="W80" s="100"/>
      <c r="X80" s="100"/>
      <c r="Y80" s="100"/>
      <c r="Z80" s="101"/>
      <c r="AA80" s="47"/>
      <c r="AB80" s="47"/>
      <c r="AC80" s="47"/>
      <c r="AD80" s="50"/>
      <c r="AE80" s="48"/>
      <c r="AF80" s="48"/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3"/>
      <c r="AW80" s="48"/>
      <c r="AX80" s="48"/>
      <c r="AY80" s="48"/>
      <c r="AZ80" s="48"/>
      <c r="BA80" s="49"/>
    </row>
    <row r="81" spans="2:53" ht="12" customHeight="1" x14ac:dyDescent="0.25">
      <c r="B81" s="128">
        <v>8</v>
      </c>
      <c r="C81" s="101"/>
      <c r="D81" s="193" t="str">
        <f>'Bases - Cadastro'!A45</f>
        <v>PR50090005 -  Correios e Malotes PROADI SUS</v>
      </c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1"/>
      <c r="P81" s="188" t="str">
        <f>'Bases - Cadastro'!D45</f>
        <v>263016 Reembolso de Correios PROADI SUS</v>
      </c>
      <c r="Q81" s="100"/>
      <c r="R81" s="100"/>
      <c r="S81" s="100"/>
      <c r="T81" s="100"/>
      <c r="U81" s="101"/>
      <c r="V81" s="186">
        <f t="shared" si="0"/>
        <v>0</v>
      </c>
      <c r="W81" s="100"/>
      <c r="X81" s="100"/>
      <c r="Y81" s="100"/>
      <c r="Z81" s="101"/>
      <c r="AA81" s="47"/>
      <c r="AB81" s="47"/>
      <c r="AC81" s="47"/>
      <c r="AD81" s="50"/>
      <c r="AE81" s="48"/>
      <c r="AF81" s="48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48"/>
      <c r="AX81" s="48"/>
      <c r="AY81" s="48"/>
      <c r="AZ81" s="48"/>
      <c r="BA81" s="49"/>
    </row>
    <row r="82" spans="2:53" ht="12" customHeight="1" x14ac:dyDescent="0.25">
      <c r="B82" s="128">
        <v>9</v>
      </c>
      <c r="C82" s="101"/>
      <c r="D82" s="193" t="str">
        <f>'Bases - Cadastro'!A46</f>
        <v>PR50090011 -  Revelações, Cópias, Impressões e Gráfica PROADI SUS</v>
      </c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1"/>
      <c r="P82" s="188" t="str">
        <f>'Bases - Cadastro'!D46</f>
        <v>263019 Reembolso de Revelações, Cópias e Gráfica PROADI SUS</v>
      </c>
      <c r="Q82" s="100"/>
      <c r="R82" s="100"/>
      <c r="S82" s="100"/>
      <c r="T82" s="100"/>
      <c r="U82" s="101"/>
      <c r="V82" s="186">
        <f t="shared" si="0"/>
        <v>0</v>
      </c>
      <c r="W82" s="100"/>
      <c r="X82" s="100"/>
      <c r="Y82" s="100"/>
      <c r="Z82" s="101"/>
      <c r="AA82" s="47"/>
      <c r="AB82" s="47"/>
      <c r="AC82" s="47"/>
      <c r="AD82" s="50"/>
      <c r="AE82" s="48"/>
      <c r="AF82" s="48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  <c r="AR82" s="103"/>
      <c r="AS82" s="103"/>
      <c r="AT82" s="103"/>
      <c r="AU82" s="103"/>
      <c r="AV82" s="103"/>
      <c r="AW82" s="48"/>
      <c r="AX82" s="48"/>
      <c r="AY82" s="48"/>
      <c r="AZ82" s="48"/>
      <c r="BA82" s="49"/>
    </row>
    <row r="83" spans="2:53" ht="12" customHeight="1" x14ac:dyDescent="0.25">
      <c r="B83" s="128">
        <v>10</v>
      </c>
      <c r="C83" s="101"/>
      <c r="D83" s="193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1"/>
      <c r="P83" s="188"/>
      <c r="Q83" s="100"/>
      <c r="R83" s="100"/>
      <c r="S83" s="100"/>
      <c r="T83" s="100"/>
      <c r="U83" s="101"/>
      <c r="V83" s="186">
        <f t="shared" si="0"/>
        <v>0</v>
      </c>
      <c r="W83" s="100"/>
      <c r="X83" s="100"/>
      <c r="Y83" s="100"/>
      <c r="Z83" s="101"/>
      <c r="AA83" s="47"/>
      <c r="AB83" s="47"/>
      <c r="AC83" s="47"/>
      <c r="AD83" s="50"/>
      <c r="AE83" s="48"/>
      <c r="AF83" s="48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  <c r="AR83" s="103"/>
      <c r="AS83" s="103"/>
      <c r="AT83" s="103"/>
      <c r="AU83" s="103"/>
      <c r="AV83" s="103"/>
      <c r="AW83" s="48"/>
      <c r="AX83" s="48"/>
      <c r="AY83" s="48"/>
      <c r="AZ83" s="48"/>
      <c r="BA83" s="49"/>
    </row>
    <row r="84" spans="2:53" ht="12" customHeight="1" x14ac:dyDescent="0.25">
      <c r="B84" s="128">
        <v>11</v>
      </c>
      <c r="C84" s="101"/>
      <c r="D84" s="193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1"/>
      <c r="P84" s="188"/>
      <c r="Q84" s="100"/>
      <c r="R84" s="100"/>
      <c r="S84" s="100"/>
      <c r="T84" s="100"/>
      <c r="U84" s="101"/>
      <c r="V84" s="186">
        <f t="shared" si="0"/>
        <v>0</v>
      </c>
      <c r="W84" s="100"/>
      <c r="X84" s="100"/>
      <c r="Y84" s="100"/>
      <c r="Z84" s="101"/>
      <c r="AA84" s="47"/>
      <c r="AB84" s="47"/>
      <c r="AC84" s="47"/>
      <c r="AD84" s="50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9"/>
    </row>
    <row r="85" spans="2:53" ht="12" customHeight="1" x14ac:dyDescent="0.25">
      <c r="B85" s="128">
        <v>12</v>
      </c>
      <c r="C85" s="101"/>
      <c r="D85" s="193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1"/>
      <c r="P85" s="188"/>
      <c r="Q85" s="100"/>
      <c r="R85" s="100"/>
      <c r="S85" s="100"/>
      <c r="T85" s="100"/>
      <c r="U85" s="101"/>
      <c r="V85" s="186">
        <f t="shared" si="0"/>
        <v>0</v>
      </c>
      <c r="W85" s="100"/>
      <c r="X85" s="100"/>
      <c r="Y85" s="100"/>
      <c r="Z85" s="101"/>
      <c r="AA85" s="47"/>
      <c r="AB85" s="47"/>
      <c r="AC85" s="47"/>
      <c r="AD85" s="51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3"/>
    </row>
  </sheetData>
  <mergeCells count="458">
    <mergeCell ref="V85:Z85"/>
    <mergeCell ref="B66:F66"/>
    <mergeCell ref="V82:Z82"/>
    <mergeCell ref="D78:O78"/>
    <mergeCell ref="U62:Z62"/>
    <mergeCell ref="Q22:Y22"/>
    <mergeCell ref="B15:AX15"/>
    <mergeCell ref="G57:K57"/>
    <mergeCell ref="B61:F61"/>
    <mergeCell ref="L45:P45"/>
    <mergeCell ref="G49:K49"/>
    <mergeCell ref="U64:Z64"/>
    <mergeCell ref="AU38:BA38"/>
    <mergeCell ref="Q33:T33"/>
    <mergeCell ref="U51:Z51"/>
    <mergeCell ref="Q27:T28"/>
    <mergeCell ref="AR32:AT32"/>
    <mergeCell ref="L38:P38"/>
    <mergeCell ref="AA63:AN63"/>
    <mergeCell ref="AU40:BA40"/>
    <mergeCell ref="AN21:BA21"/>
    <mergeCell ref="AA22:AL22"/>
    <mergeCell ref="L40:P40"/>
    <mergeCell ref="B64:F64"/>
    <mergeCell ref="AU63:BA63"/>
    <mergeCell ref="P79:U79"/>
    <mergeCell ref="G29:K29"/>
    <mergeCell ref="B21:AL21"/>
    <mergeCell ref="AA50:AN50"/>
    <mergeCell ref="G44:K44"/>
    <mergeCell ref="AR52:AT52"/>
    <mergeCell ref="G31:K31"/>
    <mergeCell ref="H11:T11"/>
    <mergeCell ref="B75:C75"/>
    <mergeCell ref="W70:AG70"/>
    <mergeCell ref="AN23:BA23"/>
    <mergeCell ref="AR27:AT27"/>
    <mergeCell ref="B51:F51"/>
    <mergeCell ref="AO28:AQ28"/>
    <mergeCell ref="AU37:BA37"/>
    <mergeCell ref="U41:Z41"/>
    <mergeCell ref="B59:F59"/>
    <mergeCell ref="B46:F46"/>
    <mergeCell ref="AU47:BA47"/>
    <mergeCell ref="L37:P37"/>
    <mergeCell ref="U56:Z56"/>
    <mergeCell ref="AR49:AT49"/>
    <mergeCell ref="U43:Z43"/>
    <mergeCell ref="AO58:AQ58"/>
    <mergeCell ref="B48:F48"/>
    <mergeCell ref="AN9:AZ9"/>
    <mergeCell ref="Q62:T62"/>
    <mergeCell ref="B44:F44"/>
    <mergeCell ref="U55:Z55"/>
    <mergeCell ref="AU29:BA29"/>
    <mergeCell ref="U38:Z38"/>
    <mergeCell ref="B4:AX4"/>
    <mergeCell ref="G33:K33"/>
    <mergeCell ref="Q64:T64"/>
    <mergeCell ref="B37:F37"/>
    <mergeCell ref="AU44:BA44"/>
    <mergeCell ref="AA54:AN54"/>
    <mergeCell ref="AU31:BA31"/>
    <mergeCell ref="Q51:T51"/>
    <mergeCell ref="U40:Z40"/>
    <mergeCell ref="AA41:AN41"/>
    <mergeCell ref="G35:K35"/>
    <mergeCell ref="AA56:AN56"/>
    <mergeCell ref="AO57:AQ57"/>
    <mergeCell ref="AR34:AT34"/>
    <mergeCell ref="AA34:AN34"/>
    <mergeCell ref="AU42:BA42"/>
    <mergeCell ref="AR36:AT36"/>
    <mergeCell ref="AA36:AN36"/>
    <mergeCell ref="D81:O81"/>
    <mergeCell ref="B32:F32"/>
    <mergeCell ref="AB17:AE17"/>
    <mergeCell ref="D76:O76"/>
    <mergeCell ref="AR66:AT66"/>
    <mergeCell ref="AR63:AT63"/>
    <mergeCell ref="V76:Z76"/>
    <mergeCell ref="AO29:AQ29"/>
    <mergeCell ref="L43:P43"/>
    <mergeCell ref="AA30:AN30"/>
    <mergeCell ref="G38:K38"/>
    <mergeCell ref="B42:F42"/>
    <mergeCell ref="C69:R69"/>
    <mergeCell ref="V77:Z77"/>
    <mergeCell ref="AO31:AQ31"/>
    <mergeCell ref="AD75:AF75"/>
    <mergeCell ref="C71:G71"/>
    <mergeCell ref="U66:Z66"/>
    <mergeCell ref="G30:K30"/>
    <mergeCell ref="Q39:T39"/>
    <mergeCell ref="AA65:AN65"/>
    <mergeCell ref="AA31:AN31"/>
    <mergeCell ref="U59:Z59"/>
    <mergeCell ref="AO32:AQ32"/>
    <mergeCell ref="B1:BA2"/>
    <mergeCell ref="AA35:AN35"/>
    <mergeCell ref="B83:C83"/>
    <mergeCell ref="O9:T9"/>
    <mergeCell ref="B85:C85"/>
    <mergeCell ref="D84:O84"/>
    <mergeCell ref="AD73:BA73"/>
    <mergeCell ref="B36:F36"/>
    <mergeCell ref="Q59:T59"/>
    <mergeCell ref="AO65:AQ65"/>
    <mergeCell ref="Q46:T46"/>
    <mergeCell ref="Q61:T61"/>
    <mergeCell ref="Q48:T48"/>
    <mergeCell ref="AA38:AN38"/>
    <mergeCell ref="U37:Z37"/>
    <mergeCell ref="L66:P66"/>
    <mergeCell ref="L53:P53"/>
    <mergeCell ref="AU46:BA46"/>
    <mergeCell ref="Q41:T41"/>
    <mergeCell ref="B19:G19"/>
    <mergeCell ref="AR53:AT53"/>
    <mergeCell ref="AA40:AN40"/>
    <mergeCell ref="AO54:AQ54"/>
    <mergeCell ref="AU61:BA61"/>
    <mergeCell ref="B5:F5"/>
    <mergeCell ref="AR39:AT39"/>
    <mergeCell ref="AU55:BA55"/>
    <mergeCell ref="D80:O80"/>
    <mergeCell ref="AG77:AV83"/>
    <mergeCell ref="AO33:AQ33"/>
    <mergeCell ref="AA43:AN43"/>
    <mergeCell ref="AO35:AQ35"/>
    <mergeCell ref="AR65:AT65"/>
    <mergeCell ref="B23:O23"/>
    <mergeCell ref="B82:C82"/>
    <mergeCell ref="L55:P55"/>
    <mergeCell ref="AU48:BA48"/>
    <mergeCell ref="AR50:AT50"/>
    <mergeCell ref="G58:K58"/>
    <mergeCell ref="AR60:AT60"/>
    <mergeCell ref="Q56:T56"/>
    <mergeCell ref="AO41:AQ41"/>
    <mergeCell ref="Q43:T43"/>
    <mergeCell ref="AA33:AN33"/>
    <mergeCell ref="AR55:AT55"/>
    <mergeCell ref="AO56:AQ56"/>
    <mergeCell ref="AO34:AQ34"/>
    <mergeCell ref="AA57:AN57"/>
    <mergeCell ref="P83:U83"/>
    <mergeCell ref="AR31:AT31"/>
    <mergeCell ref="AA27:AN28"/>
    <mergeCell ref="Q63:T63"/>
    <mergeCell ref="P85:U85"/>
    <mergeCell ref="Q50:T50"/>
    <mergeCell ref="AR62:AT62"/>
    <mergeCell ref="P84:U84"/>
    <mergeCell ref="H71:R71"/>
    <mergeCell ref="P80:U80"/>
    <mergeCell ref="AR57:AT57"/>
    <mergeCell ref="L32:P32"/>
    <mergeCell ref="G36:K36"/>
    <mergeCell ref="L47:P47"/>
    <mergeCell ref="Q37:T37"/>
    <mergeCell ref="D83:O83"/>
    <mergeCell ref="AO64:AQ64"/>
    <mergeCell ref="AO51:AQ51"/>
    <mergeCell ref="L63:P63"/>
    <mergeCell ref="D85:O85"/>
    <mergeCell ref="Q55:T55"/>
    <mergeCell ref="L50:P50"/>
    <mergeCell ref="Q38:T38"/>
    <mergeCell ref="G64:K64"/>
    <mergeCell ref="P82:U82"/>
    <mergeCell ref="AR30:AT30"/>
    <mergeCell ref="P75:U75"/>
    <mergeCell ref="U58:Z58"/>
    <mergeCell ref="V84:Z84"/>
    <mergeCell ref="L30:P30"/>
    <mergeCell ref="H70:R70"/>
    <mergeCell ref="AR54:AT54"/>
    <mergeCell ref="L29:P29"/>
    <mergeCell ref="AR41:AT41"/>
    <mergeCell ref="L44:P44"/>
    <mergeCell ref="AR56:AT56"/>
    <mergeCell ref="L31:P31"/>
    <mergeCell ref="AR43:AT43"/>
    <mergeCell ref="Q44:T44"/>
    <mergeCell ref="AA47:AN47"/>
    <mergeCell ref="G59:K59"/>
    <mergeCell ref="U53:Z53"/>
    <mergeCell ref="L57:P57"/>
    <mergeCell ref="G61:K61"/>
    <mergeCell ref="D75:O75"/>
    <mergeCell ref="V79:Z79"/>
    <mergeCell ref="B58:F58"/>
    <mergeCell ref="B52:F52"/>
    <mergeCell ref="B3:AX3"/>
    <mergeCell ref="L41:P41"/>
    <mergeCell ref="G45:K45"/>
    <mergeCell ref="AU34:BA34"/>
    <mergeCell ref="U60:Z60"/>
    <mergeCell ref="AA66:AN66"/>
    <mergeCell ref="B65:F65"/>
    <mergeCell ref="W71:AG71"/>
    <mergeCell ref="L56:P56"/>
    <mergeCell ref="AU49:BA49"/>
    <mergeCell ref="G47:K47"/>
    <mergeCell ref="AU36:BA36"/>
    <mergeCell ref="U45:Z45"/>
    <mergeCell ref="B63:F63"/>
    <mergeCell ref="G46:K46"/>
    <mergeCell ref="B50:F50"/>
    <mergeCell ref="G40:K40"/>
    <mergeCell ref="AA61:AN61"/>
    <mergeCell ref="AA32:AN32"/>
    <mergeCell ref="AO62:AQ62"/>
    <mergeCell ref="AR28:AT28"/>
    <mergeCell ref="B55:F55"/>
    <mergeCell ref="B7:F7"/>
    <mergeCell ref="AU57:BA57"/>
    <mergeCell ref="AJ5:AM5"/>
    <mergeCell ref="B62:F62"/>
    <mergeCell ref="U32:Z32"/>
    <mergeCell ref="B31:F31"/>
    <mergeCell ref="U47:Z47"/>
    <mergeCell ref="AR40:AT40"/>
    <mergeCell ref="B39:F39"/>
    <mergeCell ref="V81:Z81"/>
    <mergeCell ref="AR33:AT33"/>
    <mergeCell ref="AR35:AT35"/>
    <mergeCell ref="L54:P54"/>
    <mergeCell ref="V73:Z73"/>
    <mergeCell ref="P77:U77"/>
    <mergeCell ref="B74:C74"/>
    <mergeCell ref="G48:K48"/>
    <mergeCell ref="B60:F60"/>
    <mergeCell ref="L42:P42"/>
    <mergeCell ref="G62:K62"/>
    <mergeCell ref="AR29:AT29"/>
    <mergeCell ref="B53:F53"/>
    <mergeCell ref="V74:Z74"/>
    <mergeCell ref="AR44:AT44"/>
    <mergeCell ref="B24:BA24"/>
    <mergeCell ref="AU58:BA58"/>
    <mergeCell ref="AG9:AM9"/>
    <mergeCell ref="P74:U74"/>
    <mergeCell ref="AO61:AQ61"/>
    <mergeCell ref="B25:BA25"/>
    <mergeCell ref="AA59:AN59"/>
    <mergeCell ref="C70:G70"/>
    <mergeCell ref="AU30:BA30"/>
    <mergeCell ref="AA46:AN46"/>
    <mergeCell ref="AU59:BA59"/>
    <mergeCell ref="AA64:AN64"/>
    <mergeCell ref="G32:K32"/>
    <mergeCell ref="AA51:AN51"/>
    <mergeCell ref="AU35:BA35"/>
    <mergeCell ref="AU50:BA50"/>
    <mergeCell ref="AU52:BA52"/>
    <mergeCell ref="AU39:BA39"/>
    <mergeCell ref="AU32:BA32"/>
    <mergeCell ref="B26:BA26"/>
    <mergeCell ref="AU60:BA60"/>
    <mergeCell ref="AA23:AL23"/>
    <mergeCell ref="G51:K51"/>
    <mergeCell ref="L52:P52"/>
    <mergeCell ref="AU45:BA45"/>
    <mergeCell ref="Q40:T40"/>
    <mergeCell ref="AU33:BA33"/>
    <mergeCell ref="Q53:T53"/>
    <mergeCell ref="U42:Z42"/>
    <mergeCell ref="AD76:AF76"/>
    <mergeCell ref="AU27:BA28"/>
    <mergeCell ref="G37:K37"/>
    <mergeCell ref="U52:Z52"/>
    <mergeCell ref="L27:P28"/>
    <mergeCell ref="B57:F57"/>
    <mergeCell ref="AA45:AN45"/>
    <mergeCell ref="AO59:AQ59"/>
    <mergeCell ref="AO46:AQ46"/>
    <mergeCell ref="P76:U76"/>
    <mergeCell ref="B29:F29"/>
    <mergeCell ref="G27:K28"/>
    <mergeCell ref="AO49:AQ49"/>
    <mergeCell ref="U63:Z63"/>
    <mergeCell ref="AO36:AQ36"/>
    <mergeCell ref="U50:Z50"/>
    <mergeCell ref="U44:Z44"/>
    <mergeCell ref="AO60:AQ60"/>
    <mergeCell ref="B49:F49"/>
    <mergeCell ref="U46:Z46"/>
    <mergeCell ref="G54:K54"/>
    <mergeCell ref="V75:Z75"/>
    <mergeCell ref="AO48:AQ48"/>
    <mergeCell ref="AO66:AQ66"/>
    <mergeCell ref="V80:Z80"/>
    <mergeCell ref="B54:F54"/>
    <mergeCell ref="AO43:AQ43"/>
    <mergeCell ref="G42:K42"/>
    <mergeCell ref="U57:Z57"/>
    <mergeCell ref="AD74:AF74"/>
    <mergeCell ref="B56:F56"/>
    <mergeCell ref="B43:F43"/>
    <mergeCell ref="B67:AT67"/>
    <mergeCell ref="Q66:T66"/>
    <mergeCell ref="U70:V70"/>
    <mergeCell ref="B45:F45"/>
    <mergeCell ref="AO47:AQ47"/>
    <mergeCell ref="AA62:AN62"/>
    <mergeCell ref="U61:Z61"/>
    <mergeCell ref="U48:Z48"/>
    <mergeCell ref="G56:K56"/>
    <mergeCell ref="Q65:T65"/>
    <mergeCell ref="G43:K43"/>
    <mergeCell ref="B47:F47"/>
    <mergeCell ref="P78:U78"/>
    <mergeCell ref="AA5:AH5"/>
    <mergeCell ref="AA60:AN60"/>
    <mergeCell ref="AR64:AT64"/>
    <mergeCell ref="L39:P39"/>
    <mergeCell ref="AR51:AT51"/>
    <mergeCell ref="AN22:BA22"/>
    <mergeCell ref="AO55:AQ55"/>
    <mergeCell ref="B38:F38"/>
    <mergeCell ref="G34:K34"/>
    <mergeCell ref="AO40:AQ40"/>
    <mergeCell ref="AA53:AN53"/>
    <mergeCell ref="AO27:AQ27"/>
    <mergeCell ref="U35:Z35"/>
    <mergeCell ref="Q58:T58"/>
    <mergeCell ref="B40:F40"/>
    <mergeCell ref="U34:Z34"/>
    <mergeCell ref="B33:F33"/>
    <mergeCell ref="Q60:T60"/>
    <mergeCell ref="U49:Z49"/>
    <mergeCell ref="U36:Z36"/>
    <mergeCell ref="U30:Z30"/>
    <mergeCell ref="AA42:AN42"/>
    <mergeCell ref="B41:F41"/>
    <mergeCell ref="B35:F35"/>
    <mergeCell ref="AF17:AR17"/>
    <mergeCell ref="Q45:T45"/>
    <mergeCell ref="B22:O22"/>
    <mergeCell ref="Q32:T32"/>
    <mergeCell ref="AA44:AN44"/>
    <mergeCell ref="AA58:AN58"/>
    <mergeCell ref="Q47:T47"/>
    <mergeCell ref="AA37:AN37"/>
    <mergeCell ref="AO63:AQ63"/>
    <mergeCell ref="AO53:AQ53"/>
    <mergeCell ref="AP19:AR19"/>
    <mergeCell ref="I17:R17"/>
    <mergeCell ref="AO45:AQ45"/>
    <mergeCell ref="I19:R19"/>
    <mergeCell ref="AO38:AQ38"/>
    <mergeCell ref="AA48:AN48"/>
    <mergeCell ref="U54:Z54"/>
    <mergeCell ref="U29:Z29"/>
    <mergeCell ref="L58:P58"/>
    <mergeCell ref="B34:F34"/>
    <mergeCell ref="U31:Z31"/>
    <mergeCell ref="L60:P60"/>
    <mergeCell ref="B30:F30"/>
    <mergeCell ref="G41:K41"/>
    <mergeCell ref="G5:Y5"/>
    <mergeCell ref="B81:C81"/>
    <mergeCell ref="AA52:AN52"/>
    <mergeCell ref="U19:X19"/>
    <mergeCell ref="AU62:BA62"/>
    <mergeCell ref="Q57:T57"/>
    <mergeCell ref="U33:Z33"/>
    <mergeCell ref="L62:P62"/>
    <mergeCell ref="G66:K66"/>
    <mergeCell ref="U27:Z28"/>
    <mergeCell ref="G53:K53"/>
    <mergeCell ref="AU64:BA64"/>
    <mergeCell ref="AA49:AN49"/>
    <mergeCell ref="AU51:BA51"/>
    <mergeCell ref="Q42:T42"/>
    <mergeCell ref="AO50:AQ50"/>
    <mergeCell ref="L64:P64"/>
    <mergeCell ref="Q52:T52"/>
    <mergeCell ref="AR38:AT38"/>
    <mergeCell ref="L51:P51"/>
    <mergeCell ref="AO52:AQ52"/>
    <mergeCell ref="B27:F28"/>
    <mergeCell ref="AA19:AF19"/>
    <mergeCell ref="B76:C76"/>
    <mergeCell ref="AU67:BA67"/>
    <mergeCell ref="Q54:T54"/>
    <mergeCell ref="U71:V71"/>
    <mergeCell ref="B84:C84"/>
    <mergeCell ref="Q29:T29"/>
    <mergeCell ref="G55:K55"/>
    <mergeCell ref="AR59:AT59"/>
    <mergeCell ref="L34:P34"/>
    <mergeCell ref="AR46:AT46"/>
    <mergeCell ref="Q31:T31"/>
    <mergeCell ref="B80:C80"/>
    <mergeCell ref="L49:P49"/>
    <mergeCell ref="AR61:AT61"/>
    <mergeCell ref="L36:P36"/>
    <mergeCell ref="B79:C79"/>
    <mergeCell ref="AR48:AT48"/>
    <mergeCell ref="AO37:AQ37"/>
    <mergeCell ref="D82:O82"/>
    <mergeCell ref="AA55:AN55"/>
    <mergeCell ref="D77:O77"/>
    <mergeCell ref="AA29:AN29"/>
    <mergeCell ref="AU65:BA65"/>
    <mergeCell ref="L65:P65"/>
    <mergeCell ref="B77:C77"/>
    <mergeCell ref="V83:Z83"/>
    <mergeCell ref="B78:C78"/>
    <mergeCell ref="AR47:AT47"/>
    <mergeCell ref="AN5:AZ5"/>
    <mergeCell ref="AG75:AV76"/>
    <mergeCell ref="G65:K65"/>
    <mergeCell ref="AR42:AT42"/>
    <mergeCell ref="D79:O79"/>
    <mergeCell ref="Q35:T35"/>
    <mergeCell ref="L59:P59"/>
    <mergeCell ref="G63:K63"/>
    <mergeCell ref="L46:P46"/>
    <mergeCell ref="G50:K50"/>
    <mergeCell ref="U65:Z65"/>
    <mergeCell ref="Q34:T34"/>
    <mergeCell ref="AR58:AT58"/>
    <mergeCell ref="G60:K60"/>
    <mergeCell ref="AR37:AT37"/>
    <mergeCell ref="L61:P61"/>
    <mergeCell ref="AU54:BA54"/>
    <mergeCell ref="Q49:T49"/>
    <mergeCell ref="L48:P48"/>
    <mergeCell ref="G52:K52"/>
    <mergeCell ref="AU41:BA41"/>
    <mergeCell ref="P81:U81"/>
    <mergeCell ref="AU66:BA66"/>
    <mergeCell ref="C18:AT18"/>
    <mergeCell ref="AU53:BA53"/>
    <mergeCell ref="G39:K39"/>
    <mergeCell ref="L33:P33"/>
    <mergeCell ref="AR45:AT45"/>
    <mergeCell ref="U39:Z39"/>
    <mergeCell ref="G7:AL7"/>
    <mergeCell ref="L35:P35"/>
    <mergeCell ref="Q23:Y23"/>
    <mergeCell ref="Q36:T36"/>
    <mergeCell ref="Q30:T30"/>
    <mergeCell ref="AO39:AQ39"/>
    <mergeCell ref="AU56:BA56"/>
    <mergeCell ref="AU43:BA43"/>
    <mergeCell ref="AO30:AQ30"/>
    <mergeCell ref="AO42:AQ42"/>
    <mergeCell ref="V78:Z78"/>
    <mergeCell ref="G9:M9"/>
    <mergeCell ref="AA39:AN39"/>
    <mergeCell ref="U69:AG69"/>
    <mergeCell ref="AO44:AQ44"/>
    <mergeCell ref="D74:O74"/>
  </mergeCells>
  <printOptions horizontalCentered="1"/>
  <pageMargins left="0.25" right="0.25" top="0.75" bottom="0.75" header="0.3" footer="0.3"/>
  <pageSetup paperSize="9" scale="52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9">
    <pageSetUpPr fitToPage="1"/>
  </sheetPr>
  <dimension ref="B1:BE85"/>
  <sheetViews>
    <sheetView showGridLines="0" topLeftCell="A67" zoomScaleNormal="100" zoomScaleSheetLayoutView="100" workbookViewId="0">
      <selection activeCell="U29" sqref="U29:Z29"/>
    </sheetView>
  </sheetViews>
  <sheetFormatPr defaultColWidth="8.88671875" defaultRowHeight="13.95" customHeight="1" x14ac:dyDescent="0.25"/>
  <cols>
    <col min="1" max="1" width="1.44140625" style="15" customWidth="1"/>
    <col min="2" max="2" width="1.109375" style="15" customWidth="1"/>
    <col min="3" max="3" width="2" style="15" customWidth="1"/>
    <col min="4" max="5" width="2.6640625" style="15" customWidth="1"/>
    <col min="6" max="6" width="3.33203125" style="15" customWidth="1"/>
    <col min="7" max="7" width="4.5546875" style="15" customWidth="1"/>
    <col min="8" max="9" width="2.6640625" style="15" customWidth="1"/>
    <col min="10" max="10" width="2.109375" style="15" customWidth="1"/>
    <col min="11" max="11" width="3.109375" style="15" customWidth="1"/>
    <col min="12" max="16" width="5.33203125" style="15" customWidth="1"/>
    <col min="17" max="17" width="2.44140625" style="15" customWidth="1"/>
    <col min="18" max="18" width="2.6640625" style="15" customWidth="1"/>
    <col min="19" max="19" width="3.109375" style="15" customWidth="1"/>
    <col min="20" max="20" width="2.5546875" style="15" customWidth="1"/>
    <col min="21" max="21" width="8" style="15" customWidth="1"/>
    <col min="22" max="25" width="2.6640625" style="15" customWidth="1"/>
    <col min="26" max="26" width="3.6640625" style="15" customWidth="1"/>
    <col min="27" max="30" width="2.6640625" style="15" customWidth="1"/>
    <col min="31" max="31" width="2.109375" style="15" customWidth="1"/>
    <col min="32" max="32" width="3.109375" style="15" customWidth="1"/>
    <col min="33" max="34" width="2.6640625" style="15" customWidth="1"/>
    <col min="35" max="35" width="10" style="15" customWidth="1"/>
    <col min="36" max="36" width="1.6640625" style="15" customWidth="1"/>
    <col min="37" max="37" width="2.6640625" style="15" customWidth="1"/>
    <col min="38" max="38" width="2" style="15" customWidth="1"/>
    <col min="39" max="39" width="2.33203125" style="15" customWidth="1"/>
    <col min="40" max="43" width="9.109375" style="15" customWidth="1"/>
    <col min="44" max="44" width="4.44140625" style="15" customWidth="1"/>
    <col min="45" max="45" width="4.5546875" style="15" customWidth="1"/>
    <col min="46" max="46" width="3.88671875" style="15" customWidth="1"/>
    <col min="47" max="47" width="1.88671875" style="15" customWidth="1"/>
    <col min="48" max="48" width="2.5546875" style="15" customWidth="1"/>
    <col min="49" max="49" width="0.88671875" style="15" customWidth="1"/>
    <col min="50" max="50" width="1.33203125" style="15" customWidth="1"/>
    <col min="51" max="54" width="2.6640625" style="15" customWidth="1"/>
    <col min="55" max="55" width="10" style="68" bestFit="1" customWidth="1"/>
    <col min="56" max="56" width="2.6640625" style="15" customWidth="1"/>
    <col min="57" max="57" width="15.88671875" style="15" customWidth="1"/>
    <col min="58" max="68" width="2.6640625" style="15" customWidth="1"/>
    <col min="69" max="80" width="8.88671875" style="15" customWidth="1"/>
    <col min="81" max="16384" width="8.88671875" style="15"/>
  </cols>
  <sheetData>
    <row r="1" spans="2:53" ht="9.75" customHeight="1" x14ac:dyDescent="0.25">
      <c r="B1" s="176" t="s">
        <v>0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61"/>
    </row>
    <row r="2" spans="2:53" ht="54.75" customHeight="1" x14ac:dyDescent="0.25">
      <c r="B2" s="167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68"/>
    </row>
    <row r="3" spans="2:53" ht="7.5" customHeight="1" x14ac:dyDescent="0.25">
      <c r="B3" s="177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16"/>
      <c r="AZ3" s="16"/>
      <c r="BA3" s="16"/>
    </row>
    <row r="4" spans="2:53" ht="8.25" customHeight="1" x14ac:dyDescent="0.25">
      <c r="B4" s="105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7"/>
      <c r="AZ4" s="17"/>
      <c r="BA4" s="18"/>
    </row>
    <row r="5" spans="2:53" ht="23.25" customHeight="1" x14ac:dyDescent="0.25">
      <c r="B5" s="108" t="s">
        <v>1</v>
      </c>
      <c r="C5" s="103"/>
      <c r="D5" s="103"/>
      <c r="E5" s="103"/>
      <c r="F5" s="103"/>
      <c r="G5" s="16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8" t="s">
        <v>2</v>
      </c>
      <c r="AA5" s="163"/>
      <c r="AB5" s="103"/>
      <c r="AC5" s="103"/>
      <c r="AD5" s="103"/>
      <c r="AE5" s="103"/>
      <c r="AF5" s="103"/>
      <c r="AG5" s="103"/>
      <c r="AH5" s="103"/>
      <c r="AI5" s="19"/>
      <c r="AJ5" s="179" t="s">
        <v>3</v>
      </c>
      <c r="AK5" s="103"/>
      <c r="AL5" s="103"/>
      <c r="AM5" s="103"/>
      <c r="AN5" s="155" t="s">
        <v>667</v>
      </c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20"/>
    </row>
    <row r="6" spans="2:53" ht="8.25" customHeight="1" x14ac:dyDescent="0.25">
      <c r="B6" s="59"/>
      <c r="C6" s="54"/>
      <c r="D6" s="54"/>
      <c r="E6" s="54"/>
      <c r="F6" s="54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8"/>
      <c r="AA6" s="58"/>
      <c r="AB6" s="58"/>
      <c r="AC6" s="58"/>
      <c r="AD6" s="58"/>
      <c r="AE6" s="58"/>
      <c r="AF6" s="58"/>
      <c r="AG6" s="58"/>
      <c r="AH6" s="58"/>
      <c r="AI6" s="19"/>
      <c r="AJ6" s="62"/>
      <c r="AK6" s="62"/>
      <c r="AL6" s="62"/>
      <c r="AM6" s="62"/>
      <c r="BA6" s="20"/>
    </row>
    <row r="7" spans="2:53" ht="23.25" customHeight="1" x14ac:dyDescent="0.25">
      <c r="B7" s="108" t="s">
        <v>5</v>
      </c>
      <c r="C7" s="103"/>
      <c r="D7" s="103"/>
      <c r="E7" s="103"/>
      <c r="F7" s="103"/>
      <c r="G7" s="154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62"/>
      <c r="BA7" s="20"/>
    </row>
    <row r="8" spans="2:53" ht="8.25" customHeight="1" x14ac:dyDescent="0.25">
      <c r="B8" s="59"/>
      <c r="C8" s="54"/>
      <c r="D8" s="54"/>
      <c r="E8" s="54"/>
      <c r="F8" s="54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8"/>
      <c r="AA8" s="58"/>
      <c r="AB8" s="58"/>
      <c r="AC8" s="58"/>
      <c r="AD8" s="58"/>
      <c r="AE8" s="58"/>
      <c r="AF8" s="58"/>
      <c r="AG8" s="58"/>
      <c r="AH8" s="58"/>
      <c r="AI8" s="19"/>
      <c r="AJ8" s="62"/>
      <c r="AK8" s="62"/>
      <c r="AL8" s="62"/>
      <c r="AM8" s="62"/>
      <c r="BA8" s="20"/>
    </row>
    <row r="9" spans="2:53" ht="22.5" customHeight="1" x14ac:dyDescent="0.25">
      <c r="B9" s="63" t="s">
        <v>6</v>
      </c>
      <c r="D9" s="8"/>
      <c r="E9" s="8"/>
      <c r="F9" s="8"/>
      <c r="G9" s="138"/>
      <c r="H9" s="103"/>
      <c r="I9" s="103"/>
      <c r="J9" s="103"/>
      <c r="K9" s="103"/>
      <c r="L9" s="103"/>
      <c r="M9" s="103"/>
      <c r="N9" s="58" t="s">
        <v>646</v>
      </c>
      <c r="O9" s="138"/>
      <c r="P9" s="103"/>
      <c r="Q9" s="103"/>
      <c r="R9" s="103"/>
      <c r="S9" s="103"/>
      <c r="T9" s="103"/>
      <c r="W9" s="21"/>
      <c r="X9" s="21"/>
      <c r="Y9" s="21"/>
      <c r="Z9" s="21"/>
      <c r="AA9" s="21"/>
      <c r="AB9" s="21"/>
      <c r="AC9" s="21"/>
      <c r="AD9" s="21"/>
      <c r="AG9" s="179" t="s">
        <v>8</v>
      </c>
      <c r="AH9" s="103"/>
      <c r="AI9" s="103"/>
      <c r="AJ9" s="103"/>
      <c r="AK9" s="103"/>
      <c r="AL9" s="103"/>
      <c r="AM9" s="103"/>
      <c r="AN9" s="138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27"/>
    </row>
    <row r="10" spans="2:53" ht="15" customHeight="1" x14ac:dyDescent="0.25">
      <c r="B10" s="26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21"/>
      <c r="P10" s="28"/>
      <c r="V10" s="29"/>
      <c r="W10" s="29"/>
      <c r="X10" s="29"/>
      <c r="Y10" s="29"/>
      <c r="Z10" s="29"/>
      <c r="AA10" s="29"/>
      <c r="AB10" s="29"/>
      <c r="AC10" s="29"/>
      <c r="AD10" s="29"/>
      <c r="AY10" s="21"/>
      <c r="AZ10" s="21"/>
      <c r="BA10" s="27"/>
    </row>
    <row r="11" spans="2:53" ht="15" customHeight="1" x14ac:dyDescent="0.25">
      <c r="B11" s="63" t="s">
        <v>9</v>
      </c>
      <c r="C11" s="58"/>
      <c r="D11" s="54"/>
      <c r="E11" s="54"/>
      <c r="F11" s="54"/>
      <c r="G11" s="54"/>
      <c r="H11" s="16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28"/>
      <c r="V11" s="28"/>
      <c r="W11" s="28"/>
      <c r="X11" s="28"/>
      <c r="Y11" s="28"/>
      <c r="Z11" s="28"/>
      <c r="AA11" s="29"/>
      <c r="AB11" s="29"/>
      <c r="AC11" s="29"/>
      <c r="AD11" s="29"/>
      <c r="AE11" s="28" t="s">
        <v>11</v>
      </c>
      <c r="AF11" s="28"/>
      <c r="AG11" s="28"/>
      <c r="AH11" s="28"/>
      <c r="AI11" s="28"/>
      <c r="AJ11" s="28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1"/>
      <c r="AZ11" s="21"/>
      <c r="BA11" s="27"/>
    </row>
    <row r="12" spans="2:53" ht="15" customHeight="1" x14ac:dyDescent="0.25">
      <c r="B12" s="26"/>
      <c r="C12" s="58"/>
      <c r="D12" s="54"/>
      <c r="E12" s="54"/>
      <c r="F12" s="54"/>
      <c r="G12" s="54"/>
      <c r="H12" s="8"/>
      <c r="I12" s="21"/>
      <c r="J12" s="21"/>
      <c r="K12" s="21"/>
      <c r="L12" s="54"/>
      <c r="M12" s="8"/>
      <c r="N12" s="21"/>
      <c r="O12" s="21"/>
      <c r="P12" s="21"/>
      <c r="Q12" s="21"/>
      <c r="R12" s="21"/>
      <c r="AF12" s="28"/>
      <c r="AG12" s="28"/>
      <c r="AH12" s="28"/>
      <c r="AI12" s="28"/>
      <c r="AJ12" s="28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1"/>
      <c r="AZ12" s="21"/>
      <c r="BA12" s="27"/>
    </row>
    <row r="13" spans="2:53" ht="15" customHeight="1" x14ac:dyDescent="0.25">
      <c r="B13" s="26"/>
      <c r="C13" s="58"/>
      <c r="D13" s="54"/>
      <c r="E13" s="54"/>
      <c r="F13" s="54"/>
      <c r="G13" s="54"/>
      <c r="H13" s="8"/>
      <c r="I13" s="21"/>
      <c r="J13" s="21"/>
      <c r="K13" s="21"/>
      <c r="L13" s="54"/>
      <c r="M13" s="8"/>
      <c r="N13" s="21"/>
      <c r="O13" s="21"/>
      <c r="P13" s="21"/>
      <c r="Q13" s="21"/>
      <c r="R13" s="21"/>
      <c r="AF13" s="28"/>
      <c r="AG13" s="28"/>
      <c r="AH13" s="28"/>
      <c r="AI13" s="28"/>
      <c r="AJ13" s="28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1"/>
      <c r="AZ13" s="21"/>
      <c r="BA13" s="27"/>
    </row>
    <row r="14" spans="2:53" ht="15" customHeight="1" x14ac:dyDescent="0.25">
      <c r="B14" s="26"/>
      <c r="C14" s="29"/>
      <c r="D14" s="8" t="s">
        <v>12</v>
      </c>
      <c r="I14" s="8" t="s">
        <v>13</v>
      </c>
      <c r="R14" s="58"/>
      <c r="S14" s="54" t="s">
        <v>14</v>
      </c>
      <c r="AF14" s="29"/>
      <c r="AH14" s="54"/>
      <c r="AI14" s="54" t="s">
        <v>15</v>
      </c>
      <c r="AJ14" s="54"/>
      <c r="AK14" s="54"/>
      <c r="AL14" s="54"/>
      <c r="AM14" s="21"/>
      <c r="AN14" s="58"/>
      <c r="AO14" s="58"/>
      <c r="AP14" s="58"/>
      <c r="AQ14" s="58"/>
      <c r="AR14" s="58"/>
      <c r="AS14" s="58"/>
      <c r="AT14" s="58"/>
      <c r="AU14" s="54"/>
      <c r="AV14" s="54"/>
      <c r="AW14" s="54"/>
      <c r="AX14" s="54"/>
      <c r="AY14" s="21"/>
      <c r="AZ14" s="21"/>
      <c r="BA14" s="27"/>
    </row>
    <row r="15" spans="2:53" ht="8.25" customHeight="1" x14ac:dyDescent="0.25">
      <c r="B15" s="147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22"/>
      <c r="AZ15" s="22"/>
      <c r="BA15" s="23"/>
    </row>
    <row r="16" spans="2:53" ht="9" customHeight="1" x14ac:dyDescent="0.25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</row>
    <row r="17" spans="2:53" ht="16.5" customHeight="1" x14ac:dyDescent="0.25">
      <c r="B17" s="64"/>
      <c r="C17" s="55" t="s">
        <v>16</v>
      </c>
      <c r="D17" s="56"/>
      <c r="E17" s="56"/>
      <c r="F17" s="55"/>
      <c r="G17" s="55"/>
      <c r="H17" s="55"/>
      <c r="I17" s="129"/>
      <c r="J17" s="130"/>
      <c r="K17" s="130"/>
      <c r="L17" s="130"/>
      <c r="M17" s="130"/>
      <c r="N17" s="130"/>
      <c r="O17" s="130"/>
      <c r="P17" s="130"/>
      <c r="Q17" s="130"/>
      <c r="R17" s="130"/>
      <c r="S17" s="57" t="s">
        <v>17</v>
      </c>
      <c r="T17" s="56"/>
      <c r="U17" s="56"/>
      <c r="V17" s="56"/>
      <c r="W17" s="56"/>
      <c r="X17" s="56"/>
      <c r="Y17" s="56"/>
      <c r="Z17" s="61"/>
      <c r="AA17" s="61"/>
      <c r="AB17" s="142"/>
      <c r="AC17" s="130"/>
      <c r="AD17" s="130"/>
      <c r="AE17" s="130"/>
      <c r="AF17" s="175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24"/>
      <c r="AT17" s="24"/>
      <c r="AU17" s="24"/>
      <c r="AV17" s="24"/>
      <c r="AW17" s="24"/>
      <c r="AX17" s="24"/>
      <c r="AY17" s="24"/>
      <c r="AZ17" s="24"/>
      <c r="BA17" s="25"/>
    </row>
    <row r="18" spans="2:53" ht="3.75" customHeight="1" x14ac:dyDescent="0.25">
      <c r="B18" s="26"/>
      <c r="C18" s="152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21"/>
      <c r="AV18" s="21"/>
      <c r="AW18" s="21"/>
      <c r="AX18" s="21"/>
      <c r="AY18" s="21"/>
      <c r="AZ18" s="21"/>
      <c r="BA18" s="27"/>
    </row>
    <row r="19" spans="2:53" ht="19.5" customHeight="1" x14ac:dyDescent="0.25">
      <c r="B19" s="172" t="s">
        <v>18</v>
      </c>
      <c r="C19" s="103"/>
      <c r="D19" s="103"/>
      <c r="E19" s="103"/>
      <c r="F19" s="103"/>
      <c r="G19" s="103"/>
      <c r="H19" s="10"/>
      <c r="I19" s="102"/>
      <c r="J19" s="103"/>
      <c r="K19" s="103"/>
      <c r="L19" s="103"/>
      <c r="M19" s="103"/>
      <c r="N19" s="103"/>
      <c r="O19" s="103"/>
      <c r="P19" s="103"/>
      <c r="Q19" s="103"/>
      <c r="R19" s="103"/>
      <c r="U19" s="158" t="s">
        <v>20</v>
      </c>
      <c r="V19" s="103"/>
      <c r="W19" s="103"/>
      <c r="X19" s="103"/>
      <c r="Y19" s="8"/>
      <c r="Z19" s="8"/>
      <c r="AA19" s="102"/>
      <c r="AB19" s="103"/>
      <c r="AC19" s="103"/>
      <c r="AD19" s="103"/>
      <c r="AE19" s="103"/>
      <c r="AF19" s="103"/>
      <c r="AG19" s="65"/>
      <c r="AH19" s="29" t="s">
        <v>22</v>
      </c>
      <c r="AI19" s="60"/>
      <c r="AJ19" s="65"/>
      <c r="AK19" s="65"/>
      <c r="AL19" s="65"/>
      <c r="AM19" s="65"/>
      <c r="AN19" s="8" t="s">
        <v>23</v>
      </c>
      <c r="AP19" s="170"/>
      <c r="AQ19" s="103"/>
      <c r="AR19" s="103"/>
      <c r="AS19" s="29" t="s">
        <v>22</v>
      </c>
      <c r="AT19" s="60"/>
      <c r="AU19" s="21"/>
      <c r="AV19" s="21"/>
      <c r="AW19" s="21"/>
      <c r="AX19" s="21"/>
      <c r="AY19" s="21"/>
      <c r="AZ19" s="21"/>
      <c r="BA19" s="27"/>
    </row>
    <row r="20" spans="2:53" ht="8.25" customHeight="1" x14ac:dyDescent="0.25">
      <c r="B20" s="66"/>
      <c r="C20" s="22"/>
      <c r="D20" s="22"/>
      <c r="E20" s="22"/>
      <c r="F20" s="22"/>
      <c r="G20" s="22"/>
      <c r="H20" s="22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2"/>
      <c r="BA20" s="23"/>
    </row>
    <row r="21" spans="2:53" ht="13.95" customHeight="1" x14ac:dyDescent="0.25">
      <c r="B21" s="127" t="s">
        <v>24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8"/>
      <c r="AM21" s="73"/>
      <c r="AN21" s="115" t="s">
        <v>25</v>
      </c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8"/>
    </row>
    <row r="22" spans="2:53" ht="13.95" customHeight="1" x14ac:dyDescent="0.25">
      <c r="B22" s="169" t="s">
        <v>26</v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68"/>
      <c r="P22" s="31"/>
      <c r="Q22" s="111" t="s">
        <v>27</v>
      </c>
      <c r="R22" s="112"/>
      <c r="S22" s="112"/>
      <c r="T22" s="112"/>
      <c r="U22" s="112"/>
      <c r="V22" s="112"/>
      <c r="W22" s="112"/>
      <c r="X22" s="112"/>
      <c r="Y22" s="113"/>
      <c r="Z22" s="31"/>
      <c r="AA22" s="111" t="s">
        <v>28</v>
      </c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3"/>
      <c r="AM22" s="31"/>
      <c r="AN22" s="183" t="s">
        <v>29</v>
      </c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8"/>
    </row>
    <row r="23" spans="2:53" ht="13.95" customHeight="1" x14ac:dyDescent="0.25">
      <c r="B23" s="173">
        <v>0</v>
      </c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4"/>
      <c r="P23" s="32"/>
      <c r="Q23" s="115">
        <f>AU67</f>
        <v>1384.31</v>
      </c>
      <c r="R23" s="97"/>
      <c r="S23" s="97"/>
      <c r="T23" s="97"/>
      <c r="U23" s="97"/>
      <c r="V23" s="97"/>
      <c r="W23" s="97"/>
      <c r="X23" s="97"/>
      <c r="Y23" s="98"/>
      <c r="Z23" s="33"/>
      <c r="AA23" s="202">
        <v>0</v>
      </c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4"/>
      <c r="AM23" s="72"/>
      <c r="AN23" s="115">
        <f>AU67</f>
        <v>1384.31</v>
      </c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8"/>
    </row>
    <row r="24" spans="2:53" ht="8.25" customHeight="1" x14ac:dyDescent="0.25">
      <c r="B24" s="143" t="s">
        <v>30</v>
      </c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</row>
    <row r="25" spans="2:53" ht="13.95" customHeight="1" x14ac:dyDescent="0.25">
      <c r="B25" s="160" t="s">
        <v>31</v>
      </c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61"/>
    </row>
    <row r="26" spans="2:53" ht="9" customHeight="1" x14ac:dyDescent="0.25">
      <c r="B26" s="13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4"/>
    </row>
    <row r="27" spans="2:53" ht="13.95" customHeight="1" x14ac:dyDescent="0.25">
      <c r="B27" s="192" t="s">
        <v>32</v>
      </c>
      <c r="C27" s="106"/>
      <c r="D27" s="106"/>
      <c r="E27" s="106"/>
      <c r="F27" s="120"/>
      <c r="G27" s="192" t="s">
        <v>33</v>
      </c>
      <c r="H27" s="106"/>
      <c r="I27" s="106"/>
      <c r="J27" s="106"/>
      <c r="K27" s="120"/>
      <c r="L27" s="192" t="s">
        <v>34</v>
      </c>
      <c r="M27" s="106"/>
      <c r="N27" s="106"/>
      <c r="O27" s="106"/>
      <c r="P27" s="120"/>
      <c r="Q27" s="192" t="s">
        <v>35</v>
      </c>
      <c r="R27" s="106"/>
      <c r="S27" s="106"/>
      <c r="T27" s="120"/>
      <c r="U27" s="192" t="s">
        <v>36</v>
      </c>
      <c r="V27" s="106"/>
      <c r="W27" s="106"/>
      <c r="X27" s="106"/>
      <c r="Y27" s="106"/>
      <c r="Z27" s="120"/>
      <c r="AA27" s="192" t="s">
        <v>37</v>
      </c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20"/>
      <c r="AO27" s="198" t="s">
        <v>38</v>
      </c>
      <c r="AP27" s="106"/>
      <c r="AQ27" s="120"/>
      <c r="AR27" s="198" t="s">
        <v>39</v>
      </c>
      <c r="AS27" s="106"/>
      <c r="AT27" s="120"/>
      <c r="AU27" s="192" t="s">
        <v>40</v>
      </c>
      <c r="AV27" s="106"/>
      <c r="AW27" s="106"/>
      <c r="AX27" s="106"/>
      <c r="AY27" s="106"/>
      <c r="AZ27" s="106"/>
      <c r="BA27" s="120"/>
    </row>
    <row r="28" spans="2:53" ht="13.5" customHeight="1" x14ac:dyDescent="0.25">
      <c r="B28" s="121"/>
      <c r="C28" s="112"/>
      <c r="D28" s="112"/>
      <c r="E28" s="112"/>
      <c r="F28" s="113"/>
      <c r="G28" s="121"/>
      <c r="H28" s="112"/>
      <c r="I28" s="112"/>
      <c r="J28" s="112"/>
      <c r="K28" s="113"/>
      <c r="L28" s="121"/>
      <c r="M28" s="112"/>
      <c r="N28" s="112"/>
      <c r="O28" s="112"/>
      <c r="P28" s="113"/>
      <c r="Q28" s="121"/>
      <c r="R28" s="112"/>
      <c r="S28" s="112"/>
      <c r="T28" s="113"/>
      <c r="U28" s="121"/>
      <c r="V28" s="112"/>
      <c r="W28" s="112"/>
      <c r="X28" s="112"/>
      <c r="Y28" s="112"/>
      <c r="Z28" s="113"/>
      <c r="AA28" s="121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3"/>
      <c r="AO28" s="200" t="s">
        <v>41</v>
      </c>
      <c r="AP28" s="112"/>
      <c r="AQ28" s="113"/>
      <c r="AR28" s="200" t="s">
        <v>648</v>
      </c>
      <c r="AS28" s="112"/>
      <c r="AT28" s="113"/>
      <c r="AU28" s="121"/>
      <c r="AV28" s="112"/>
      <c r="AW28" s="112"/>
      <c r="AX28" s="112"/>
      <c r="AY28" s="112"/>
      <c r="AZ28" s="112"/>
      <c r="BA28" s="113"/>
    </row>
    <row r="29" spans="2:53" ht="20.100000000000001" customHeight="1" x14ac:dyDescent="0.25">
      <c r="B29" s="190" t="s">
        <v>662</v>
      </c>
      <c r="C29" s="93"/>
      <c r="D29" s="93"/>
      <c r="E29" s="93"/>
      <c r="F29" s="94"/>
      <c r="G29" s="185">
        <v>210807</v>
      </c>
      <c r="H29" s="97"/>
      <c r="I29" s="97"/>
      <c r="J29" s="97"/>
      <c r="K29" s="98"/>
      <c r="L29" s="185" t="e">
        <f>IF(G29="","",VLOOKUP($AN$5,'Bases - Cadastro'!A:C,3,0))</f>
        <v>#N/A</v>
      </c>
      <c r="M29" s="97"/>
      <c r="N29" s="97"/>
      <c r="O29" s="97"/>
      <c r="P29" s="98"/>
      <c r="Q29" s="194"/>
      <c r="R29" s="93"/>
      <c r="S29" s="93"/>
      <c r="T29" s="94"/>
      <c r="U29" s="95" t="s">
        <v>663</v>
      </c>
      <c r="V29" s="93"/>
      <c r="W29" s="93"/>
      <c r="X29" s="93"/>
      <c r="Y29" s="93"/>
      <c r="Z29" s="94"/>
      <c r="AA29" s="95" t="s">
        <v>664</v>
      </c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4"/>
      <c r="AO29" s="95" t="s">
        <v>665</v>
      </c>
      <c r="AP29" s="93"/>
      <c r="AQ29" s="94"/>
      <c r="AR29" s="187" t="str">
        <f>_xlfn.IFNA(VLOOKUP(AO29,'Bases - Cadastro'!$A$37:$B$62,2,0),"")</f>
        <v/>
      </c>
      <c r="AS29" s="97"/>
      <c r="AT29" s="98"/>
      <c r="AU29" s="92">
        <v>1384.31</v>
      </c>
      <c r="AV29" s="93"/>
      <c r="AW29" s="93"/>
      <c r="AX29" s="93"/>
      <c r="AY29" s="93"/>
      <c r="AZ29" s="93"/>
      <c r="BA29" s="94"/>
    </row>
    <row r="30" spans="2:53" ht="20.100000000000001" customHeight="1" x14ac:dyDescent="0.25">
      <c r="B30" s="190"/>
      <c r="C30" s="93"/>
      <c r="D30" s="93"/>
      <c r="E30" s="93"/>
      <c r="F30" s="94"/>
      <c r="G30" s="185"/>
      <c r="H30" s="97"/>
      <c r="I30" s="97"/>
      <c r="J30" s="97"/>
      <c r="K30" s="98"/>
      <c r="L30" s="185" t="str">
        <f>IF(G30="","",VLOOKUP($AN$5,'Bases - Cadastro'!A:C,3,0))</f>
        <v/>
      </c>
      <c r="M30" s="97"/>
      <c r="N30" s="97"/>
      <c r="O30" s="97"/>
      <c r="P30" s="98"/>
      <c r="Q30" s="194"/>
      <c r="R30" s="93"/>
      <c r="S30" s="93"/>
      <c r="T30" s="94"/>
      <c r="U30" s="95"/>
      <c r="V30" s="93"/>
      <c r="W30" s="93"/>
      <c r="X30" s="93"/>
      <c r="Y30" s="93"/>
      <c r="Z30" s="94"/>
      <c r="AA30" s="95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4"/>
      <c r="AO30" s="95"/>
      <c r="AP30" s="93"/>
      <c r="AQ30" s="94"/>
      <c r="AR30" s="187" t="str">
        <f>_xlfn.IFNA(VLOOKUP(AO30,'Bases - Cadastro'!$A$37:$B$62,2,0),"")</f>
        <v/>
      </c>
      <c r="AS30" s="97"/>
      <c r="AT30" s="98"/>
      <c r="AU30" s="92"/>
      <c r="AV30" s="93"/>
      <c r="AW30" s="93"/>
      <c r="AX30" s="93"/>
      <c r="AY30" s="93"/>
      <c r="AZ30" s="93"/>
      <c r="BA30" s="94"/>
    </row>
    <row r="31" spans="2:53" ht="20.100000000000001" customHeight="1" x14ac:dyDescent="0.25">
      <c r="B31" s="190"/>
      <c r="C31" s="93"/>
      <c r="D31" s="93"/>
      <c r="E31" s="93"/>
      <c r="F31" s="94"/>
      <c r="G31" s="185"/>
      <c r="H31" s="97"/>
      <c r="I31" s="97"/>
      <c r="J31" s="97"/>
      <c r="K31" s="98"/>
      <c r="L31" s="185" t="str">
        <f>IF(G31="","",VLOOKUP($AN$5,'Bases - Cadastro'!A:C,3,0))</f>
        <v/>
      </c>
      <c r="M31" s="97"/>
      <c r="N31" s="97"/>
      <c r="O31" s="97"/>
      <c r="P31" s="98"/>
      <c r="Q31" s="194"/>
      <c r="R31" s="93"/>
      <c r="S31" s="93"/>
      <c r="T31" s="94"/>
      <c r="U31" s="95"/>
      <c r="V31" s="93"/>
      <c r="W31" s="93"/>
      <c r="X31" s="93"/>
      <c r="Y31" s="93"/>
      <c r="Z31" s="94"/>
      <c r="AA31" s="95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4"/>
      <c r="AO31" s="95"/>
      <c r="AP31" s="93"/>
      <c r="AQ31" s="94"/>
      <c r="AR31" s="187" t="str">
        <f>_xlfn.IFNA(VLOOKUP(AO31,'Bases - Cadastro'!$A$37:$B$62,2,0),"")</f>
        <v/>
      </c>
      <c r="AS31" s="97"/>
      <c r="AT31" s="98"/>
      <c r="AU31" s="92"/>
      <c r="AV31" s="93"/>
      <c r="AW31" s="93"/>
      <c r="AX31" s="93"/>
      <c r="AY31" s="93"/>
      <c r="AZ31" s="93"/>
      <c r="BA31" s="94"/>
    </row>
    <row r="32" spans="2:53" ht="20.100000000000001" customHeight="1" x14ac:dyDescent="0.25">
      <c r="B32" s="190"/>
      <c r="C32" s="93"/>
      <c r="D32" s="93"/>
      <c r="E32" s="93"/>
      <c r="F32" s="94"/>
      <c r="G32" s="185"/>
      <c r="H32" s="97"/>
      <c r="I32" s="97"/>
      <c r="J32" s="97"/>
      <c r="K32" s="98"/>
      <c r="L32" s="185" t="str">
        <f>IF(G32="","",VLOOKUP($AN$5,'Bases - Cadastro'!A:C,3,0))</f>
        <v/>
      </c>
      <c r="M32" s="97"/>
      <c r="N32" s="97"/>
      <c r="O32" s="97"/>
      <c r="P32" s="98"/>
      <c r="Q32" s="194"/>
      <c r="R32" s="93"/>
      <c r="S32" s="93"/>
      <c r="T32" s="94"/>
      <c r="U32" s="95"/>
      <c r="V32" s="93"/>
      <c r="W32" s="93"/>
      <c r="X32" s="93"/>
      <c r="Y32" s="93"/>
      <c r="Z32" s="94"/>
      <c r="AA32" s="95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4"/>
      <c r="AO32" s="95"/>
      <c r="AP32" s="93"/>
      <c r="AQ32" s="94"/>
      <c r="AR32" s="187" t="str">
        <f>_xlfn.IFNA(VLOOKUP(AO32,'Bases - Cadastro'!$A$37:$B$62,2,0),"")</f>
        <v/>
      </c>
      <c r="AS32" s="97"/>
      <c r="AT32" s="98"/>
      <c r="AU32" s="92"/>
      <c r="AV32" s="93"/>
      <c r="AW32" s="93"/>
      <c r="AX32" s="93"/>
      <c r="AY32" s="93"/>
      <c r="AZ32" s="93"/>
      <c r="BA32" s="94"/>
    </row>
    <row r="33" spans="2:57" ht="28.5" customHeight="1" x14ac:dyDescent="0.25">
      <c r="B33" s="190"/>
      <c r="C33" s="93"/>
      <c r="D33" s="93"/>
      <c r="E33" s="93"/>
      <c r="F33" s="94"/>
      <c r="G33" s="185"/>
      <c r="H33" s="97"/>
      <c r="I33" s="97"/>
      <c r="J33" s="97"/>
      <c r="K33" s="98"/>
      <c r="L33" s="185" t="str">
        <f>IF(G33="","",VLOOKUP($AN$5,'Bases - Cadastro'!A:C,3,0))</f>
        <v/>
      </c>
      <c r="M33" s="97"/>
      <c r="N33" s="97"/>
      <c r="O33" s="97"/>
      <c r="P33" s="98"/>
      <c r="Q33" s="194"/>
      <c r="R33" s="93"/>
      <c r="S33" s="93"/>
      <c r="T33" s="94"/>
      <c r="U33" s="95"/>
      <c r="V33" s="93"/>
      <c r="W33" s="93"/>
      <c r="X33" s="93"/>
      <c r="Y33" s="93"/>
      <c r="Z33" s="94"/>
      <c r="AA33" s="95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4"/>
      <c r="AO33" s="95"/>
      <c r="AP33" s="93"/>
      <c r="AQ33" s="94"/>
      <c r="AR33" s="187" t="str">
        <f>_xlfn.IFNA(VLOOKUP(AO33,'Bases - Cadastro'!$A$37:$B$62,2,0),"")</f>
        <v/>
      </c>
      <c r="AS33" s="97"/>
      <c r="AT33" s="98"/>
      <c r="AU33" s="92"/>
      <c r="AV33" s="93"/>
      <c r="AW33" s="93"/>
      <c r="AX33" s="93"/>
      <c r="AY33" s="93"/>
      <c r="AZ33" s="93"/>
      <c r="BA33" s="94"/>
    </row>
    <row r="34" spans="2:57" ht="20.100000000000001" customHeight="1" x14ac:dyDescent="0.25">
      <c r="B34" s="190"/>
      <c r="C34" s="93"/>
      <c r="D34" s="93"/>
      <c r="E34" s="93"/>
      <c r="F34" s="94"/>
      <c r="G34" s="185"/>
      <c r="H34" s="97"/>
      <c r="I34" s="97"/>
      <c r="J34" s="97"/>
      <c r="K34" s="98"/>
      <c r="L34" s="185" t="str">
        <f>IF(G34="","",VLOOKUP($AN$5,'Bases - Cadastro'!A:C,3,0))</f>
        <v/>
      </c>
      <c r="M34" s="97"/>
      <c r="N34" s="97"/>
      <c r="O34" s="97"/>
      <c r="P34" s="98"/>
      <c r="Q34" s="194"/>
      <c r="R34" s="93"/>
      <c r="S34" s="93"/>
      <c r="T34" s="94"/>
      <c r="U34" s="95"/>
      <c r="V34" s="93"/>
      <c r="W34" s="93"/>
      <c r="X34" s="93"/>
      <c r="Y34" s="93"/>
      <c r="Z34" s="94"/>
      <c r="AA34" s="95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4"/>
      <c r="AO34" s="95"/>
      <c r="AP34" s="93"/>
      <c r="AQ34" s="94"/>
      <c r="AR34" s="187" t="str">
        <f>_xlfn.IFNA(VLOOKUP(AO34,'Bases - Cadastro'!$A$37:$B$62,2,0),"")</f>
        <v/>
      </c>
      <c r="AS34" s="97"/>
      <c r="AT34" s="98"/>
      <c r="AU34" s="92"/>
      <c r="AV34" s="93"/>
      <c r="AW34" s="93"/>
      <c r="AX34" s="93"/>
      <c r="AY34" s="93"/>
      <c r="AZ34" s="93"/>
      <c r="BA34" s="94"/>
      <c r="BD34" s="67"/>
    </row>
    <row r="35" spans="2:57" ht="20.100000000000001" customHeight="1" x14ac:dyDescent="0.3">
      <c r="B35" s="190"/>
      <c r="C35" s="93"/>
      <c r="D35" s="93"/>
      <c r="E35" s="93"/>
      <c r="F35" s="94"/>
      <c r="G35" s="185"/>
      <c r="H35" s="97"/>
      <c r="I35" s="97"/>
      <c r="J35" s="97"/>
      <c r="K35" s="98"/>
      <c r="L35" s="185" t="str">
        <f>IF(G35="","",VLOOKUP($AN$5,'Bases - Cadastro'!A:C,3,0))</f>
        <v/>
      </c>
      <c r="M35" s="97"/>
      <c r="N35" s="97"/>
      <c r="O35" s="97"/>
      <c r="P35" s="98"/>
      <c r="Q35" s="194"/>
      <c r="R35" s="93"/>
      <c r="S35" s="93"/>
      <c r="T35" s="94"/>
      <c r="U35" s="95"/>
      <c r="V35" s="93"/>
      <c r="W35" s="93"/>
      <c r="X35" s="93"/>
      <c r="Y35" s="93"/>
      <c r="Z35" s="94"/>
      <c r="AA35" s="95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4"/>
      <c r="AO35" s="95"/>
      <c r="AP35" s="93"/>
      <c r="AQ35" s="94"/>
      <c r="AR35" s="187" t="str">
        <f>_xlfn.IFNA(VLOOKUP(AO35,'Bases - Cadastro'!$A$37:$B$62,2,0),"")</f>
        <v/>
      </c>
      <c r="AS35" s="97"/>
      <c r="AT35" s="98"/>
      <c r="AU35" s="92"/>
      <c r="AV35" s="93"/>
      <c r="AW35" s="93"/>
      <c r="AX35" s="93"/>
      <c r="AY35" s="93"/>
      <c r="AZ35" s="93"/>
      <c r="BA35" s="94"/>
      <c r="BB35" s="34"/>
      <c r="BC35" s="69"/>
    </row>
    <row r="36" spans="2:57" ht="20.100000000000001" customHeight="1" x14ac:dyDescent="0.3">
      <c r="B36" s="190"/>
      <c r="C36" s="93"/>
      <c r="D36" s="93"/>
      <c r="E36" s="93"/>
      <c r="F36" s="94"/>
      <c r="G36" s="185"/>
      <c r="H36" s="97"/>
      <c r="I36" s="97"/>
      <c r="J36" s="97"/>
      <c r="K36" s="98"/>
      <c r="L36" s="185" t="str">
        <f>IF(G36="","",VLOOKUP($AN$5,'Bases - Cadastro'!A:C,3,0))</f>
        <v/>
      </c>
      <c r="M36" s="97"/>
      <c r="N36" s="97"/>
      <c r="O36" s="97"/>
      <c r="P36" s="98"/>
      <c r="Q36" s="194"/>
      <c r="R36" s="93"/>
      <c r="S36" s="93"/>
      <c r="T36" s="94"/>
      <c r="U36" s="95"/>
      <c r="V36" s="93"/>
      <c r="W36" s="93"/>
      <c r="X36" s="93"/>
      <c r="Y36" s="93"/>
      <c r="Z36" s="94"/>
      <c r="AA36" s="95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4"/>
      <c r="AO36" s="95"/>
      <c r="AP36" s="93"/>
      <c r="AQ36" s="94"/>
      <c r="AR36" s="187" t="str">
        <f>_xlfn.IFNA(VLOOKUP(AO36,'Bases - Cadastro'!$A$37:$B$62,2,0),"")</f>
        <v/>
      </c>
      <c r="AS36" s="97"/>
      <c r="AT36" s="98"/>
      <c r="AU36" s="92"/>
      <c r="AV36" s="93"/>
      <c r="AW36" s="93"/>
      <c r="AX36" s="93"/>
      <c r="AY36" s="93"/>
      <c r="AZ36" s="93"/>
      <c r="BA36" s="94"/>
      <c r="BB36" s="34"/>
      <c r="BC36" s="69"/>
    </row>
    <row r="37" spans="2:57" ht="20.100000000000001" customHeight="1" x14ac:dyDescent="0.25">
      <c r="B37" s="190"/>
      <c r="C37" s="93"/>
      <c r="D37" s="93"/>
      <c r="E37" s="93"/>
      <c r="F37" s="94"/>
      <c r="G37" s="185"/>
      <c r="H37" s="97"/>
      <c r="I37" s="97"/>
      <c r="J37" s="97"/>
      <c r="K37" s="98"/>
      <c r="L37" s="185" t="str">
        <f>IF(G37="","",VLOOKUP($AN$5,'Bases - Cadastro'!A:C,3,0))</f>
        <v/>
      </c>
      <c r="M37" s="97"/>
      <c r="N37" s="97"/>
      <c r="O37" s="97"/>
      <c r="P37" s="98"/>
      <c r="Q37" s="194"/>
      <c r="R37" s="93"/>
      <c r="S37" s="93"/>
      <c r="T37" s="94"/>
      <c r="U37" s="95"/>
      <c r="V37" s="93"/>
      <c r="W37" s="93"/>
      <c r="X37" s="93"/>
      <c r="Y37" s="93"/>
      <c r="Z37" s="94"/>
      <c r="AA37" s="95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4"/>
      <c r="AO37" s="95"/>
      <c r="AP37" s="93"/>
      <c r="AQ37" s="94"/>
      <c r="AR37" s="187" t="str">
        <f>_xlfn.IFNA(VLOOKUP(AO37,'Bases - Cadastro'!$A$37:$B$62,2,0),"")</f>
        <v/>
      </c>
      <c r="AS37" s="97"/>
      <c r="AT37" s="98"/>
      <c r="AU37" s="92"/>
      <c r="AV37" s="93"/>
      <c r="AW37" s="93"/>
      <c r="AX37" s="93"/>
      <c r="AY37" s="93"/>
      <c r="AZ37" s="93"/>
      <c r="BA37" s="94"/>
      <c r="BC37" s="70"/>
      <c r="BE37" s="67"/>
    </row>
    <row r="38" spans="2:57" ht="14.1" customHeight="1" x14ac:dyDescent="0.25">
      <c r="B38" s="190"/>
      <c r="C38" s="93"/>
      <c r="D38" s="93"/>
      <c r="E38" s="93"/>
      <c r="F38" s="94"/>
      <c r="G38" s="185"/>
      <c r="H38" s="97"/>
      <c r="I38" s="97"/>
      <c r="J38" s="97"/>
      <c r="K38" s="98"/>
      <c r="L38" s="185" t="str">
        <f>IF(G38="","",VLOOKUP($AN$5,'Bases - Cadastro'!A:C,3,0))</f>
        <v/>
      </c>
      <c r="M38" s="97"/>
      <c r="N38" s="97"/>
      <c r="O38" s="97"/>
      <c r="P38" s="98"/>
      <c r="Q38" s="194"/>
      <c r="R38" s="93"/>
      <c r="S38" s="93"/>
      <c r="T38" s="94"/>
      <c r="U38" s="95"/>
      <c r="V38" s="93"/>
      <c r="W38" s="93"/>
      <c r="X38" s="93"/>
      <c r="Y38" s="93"/>
      <c r="Z38" s="94"/>
      <c r="AA38" s="95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4"/>
      <c r="AO38" s="95"/>
      <c r="AP38" s="93"/>
      <c r="AQ38" s="94"/>
      <c r="AR38" s="187" t="str">
        <f>_xlfn.IFNA(VLOOKUP(AO38,'Bases - Cadastro'!$A$37:$B$62,2,0),"")</f>
        <v/>
      </c>
      <c r="AS38" s="97"/>
      <c r="AT38" s="98"/>
      <c r="AU38" s="92"/>
      <c r="AV38" s="93"/>
      <c r="AW38" s="93"/>
      <c r="AX38" s="93"/>
      <c r="AY38" s="93"/>
      <c r="AZ38" s="93"/>
      <c r="BA38" s="94"/>
    </row>
    <row r="39" spans="2:57" ht="14.1" customHeight="1" x14ac:dyDescent="0.25">
      <c r="B39" s="190"/>
      <c r="C39" s="93"/>
      <c r="D39" s="93"/>
      <c r="E39" s="93"/>
      <c r="F39" s="94"/>
      <c r="G39" s="185"/>
      <c r="H39" s="97"/>
      <c r="I39" s="97"/>
      <c r="J39" s="97"/>
      <c r="K39" s="98"/>
      <c r="L39" s="185" t="str">
        <f>IF(G39="","",VLOOKUP($AN$5,'Bases - Cadastro'!A:C,3,0))</f>
        <v/>
      </c>
      <c r="M39" s="97"/>
      <c r="N39" s="97"/>
      <c r="O39" s="97"/>
      <c r="P39" s="98"/>
      <c r="Q39" s="194"/>
      <c r="R39" s="93"/>
      <c r="S39" s="93"/>
      <c r="T39" s="94"/>
      <c r="U39" s="95"/>
      <c r="V39" s="93"/>
      <c r="W39" s="93"/>
      <c r="X39" s="93"/>
      <c r="Y39" s="93"/>
      <c r="Z39" s="94"/>
      <c r="AA39" s="95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4"/>
      <c r="AO39" s="95"/>
      <c r="AP39" s="93"/>
      <c r="AQ39" s="94"/>
      <c r="AR39" s="187" t="str">
        <f>_xlfn.IFNA(VLOOKUP(AO39,'Bases - Cadastro'!$A$37:$B$62,2,0),"")</f>
        <v/>
      </c>
      <c r="AS39" s="97"/>
      <c r="AT39" s="98"/>
      <c r="AU39" s="92"/>
      <c r="AV39" s="93"/>
      <c r="AW39" s="93"/>
      <c r="AX39" s="93"/>
      <c r="AY39" s="93"/>
      <c r="AZ39" s="93"/>
      <c r="BA39" s="94"/>
    </row>
    <row r="40" spans="2:57" ht="14.1" customHeight="1" x14ac:dyDescent="0.25">
      <c r="B40" s="190"/>
      <c r="C40" s="93"/>
      <c r="D40" s="93"/>
      <c r="E40" s="93"/>
      <c r="F40" s="94"/>
      <c r="G40" s="185"/>
      <c r="H40" s="97"/>
      <c r="I40" s="97"/>
      <c r="J40" s="97"/>
      <c r="K40" s="98"/>
      <c r="L40" s="185" t="str">
        <f>IF(G40="","",VLOOKUP($AN$5,'Bases - Cadastro'!A:C,3,0))</f>
        <v/>
      </c>
      <c r="M40" s="97"/>
      <c r="N40" s="97"/>
      <c r="O40" s="97"/>
      <c r="P40" s="98"/>
      <c r="Q40" s="194"/>
      <c r="R40" s="93"/>
      <c r="S40" s="93"/>
      <c r="T40" s="94"/>
      <c r="U40" s="95"/>
      <c r="V40" s="93"/>
      <c r="W40" s="93"/>
      <c r="X40" s="93"/>
      <c r="Y40" s="93"/>
      <c r="Z40" s="94"/>
      <c r="AA40" s="95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4"/>
      <c r="AO40" s="95"/>
      <c r="AP40" s="93"/>
      <c r="AQ40" s="94"/>
      <c r="AR40" s="187" t="str">
        <f>_xlfn.IFNA(VLOOKUP(AO40,'Bases - Cadastro'!$A$37:$B$62,2,0),"")</f>
        <v/>
      </c>
      <c r="AS40" s="97"/>
      <c r="AT40" s="98"/>
      <c r="AU40" s="92"/>
      <c r="AV40" s="93"/>
      <c r="AW40" s="93"/>
      <c r="AX40" s="93"/>
      <c r="AY40" s="93"/>
      <c r="AZ40" s="93"/>
      <c r="BA40" s="94"/>
    </row>
    <row r="41" spans="2:57" ht="14.1" customHeight="1" x14ac:dyDescent="0.25">
      <c r="B41" s="190"/>
      <c r="C41" s="93"/>
      <c r="D41" s="93"/>
      <c r="E41" s="93"/>
      <c r="F41" s="94"/>
      <c r="G41" s="185"/>
      <c r="H41" s="97"/>
      <c r="I41" s="97"/>
      <c r="J41" s="97"/>
      <c r="K41" s="98"/>
      <c r="L41" s="185" t="str">
        <f>IF(G41="","",VLOOKUP($AN$5,'Bases - Cadastro'!A:C,3,0))</f>
        <v/>
      </c>
      <c r="M41" s="97"/>
      <c r="N41" s="97"/>
      <c r="O41" s="97"/>
      <c r="P41" s="98"/>
      <c r="Q41" s="194"/>
      <c r="R41" s="93"/>
      <c r="S41" s="93"/>
      <c r="T41" s="94"/>
      <c r="U41" s="95"/>
      <c r="V41" s="93"/>
      <c r="W41" s="93"/>
      <c r="X41" s="93"/>
      <c r="Y41" s="93"/>
      <c r="Z41" s="94"/>
      <c r="AA41" s="95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4"/>
      <c r="AO41" s="95"/>
      <c r="AP41" s="93"/>
      <c r="AQ41" s="94"/>
      <c r="AR41" s="187" t="str">
        <f>_xlfn.IFNA(VLOOKUP(AO41,'Bases - Cadastro'!$A$37:$B$62,2,0),"")</f>
        <v/>
      </c>
      <c r="AS41" s="97"/>
      <c r="AT41" s="98"/>
      <c r="AU41" s="92"/>
      <c r="AV41" s="93"/>
      <c r="AW41" s="93"/>
      <c r="AX41" s="93"/>
      <c r="AY41" s="93"/>
      <c r="AZ41" s="93"/>
      <c r="BA41" s="94"/>
      <c r="BE41" s="35"/>
    </row>
    <row r="42" spans="2:57" ht="14.1" customHeight="1" x14ac:dyDescent="0.25">
      <c r="B42" s="190"/>
      <c r="C42" s="93"/>
      <c r="D42" s="93"/>
      <c r="E42" s="93"/>
      <c r="F42" s="94"/>
      <c r="G42" s="185"/>
      <c r="H42" s="97"/>
      <c r="I42" s="97"/>
      <c r="J42" s="97"/>
      <c r="K42" s="98"/>
      <c r="L42" s="185" t="str">
        <f>IF(G42="","",VLOOKUP($AN$5,'Bases - Cadastro'!A:C,3,0))</f>
        <v/>
      </c>
      <c r="M42" s="97"/>
      <c r="N42" s="97"/>
      <c r="O42" s="97"/>
      <c r="P42" s="98"/>
      <c r="Q42" s="194"/>
      <c r="R42" s="93"/>
      <c r="S42" s="93"/>
      <c r="T42" s="94"/>
      <c r="U42" s="95"/>
      <c r="V42" s="93"/>
      <c r="W42" s="93"/>
      <c r="X42" s="93"/>
      <c r="Y42" s="93"/>
      <c r="Z42" s="94"/>
      <c r="AA42" s="95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4"/>
      <c r="AO42" s="95"/>
      <c r="AP42" s="93"/>
      <c r="AQ42" s="94"/>
      <c r="AR42" s="187" t="str">
        <f>_xlfn.IFNA(VLOOKUP(AO42,'Bases - Cadastro'!$A$37:$B$62,2,0),"")</f>
        <v/>
      </c>
      <c r="AS42" s="97"/>
      <c r="AT42" s="98"/>
      <c r="AU42" s="92"/>
      <c r="AV42" s="93"/>
      <c r="AW42" s="93"/>
      <c r="AX42" s="93"/>
      <c r="AY42" s="93"/>
      <c r="AZ42" s="93"/>
      <c r="BA42" s="94"/>
    </row>
    <row r="43" spans="2:57" ht="14.1" customHeight="1" x14ac:dyDescent="0.25">
      <c r="B43" s="190"/>
      <c r="C43" s="93"/>
      <c r="D43" s="93"/>
      <c r="E43" s="93"/>
      <c r="F43" s="94"/>
      <c r="G43" s="185"/>
      <c r="H43" s="97"/>
      <c r="I43" s="97"/>
      <c r="J43" s="97"/>
      <c r="K43" s="98"/>
      <c r="L43" s="185" t="str">
        <f>IF(G43="","",VLOOKUP($AN$5,'Bases - Cadastro'!A:C,3,0))</f>
        <v/>
      </c>
      <c r="M43" s="97"/>
      <c r="N43" s="97"/>
      <c r="O43" s="97"/>
      <c r="P43" s="98"/>
      <c r="Q43" s="194"/>
      <c r="R43" s="93"/>
      <c r="S43" s="93"/>
      <c r="T43" s="94"/>
      <c r="U43" s="95"/>
      <c r="V43" s="93"/>
      <c r="W43" s="93"/>
      <c r="X43" s="93"/>
      <c r="Y43" s="93"/>
      <c r="Z43" s="94"/>
      <c r="AA43" s="95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4"/>
      <c r="AO43" s="95"/>
      <c r="AP43" s="93"/>
      <c r="AQ43" s="94"/>
      <c r="AR43" s="187" t="str">
        <f>_xlfn.IFNA(VLOOKUP(AO43,'Bases - Cadastro'!$A$37:$B$62,2,0),"")</f>
        <v/>
      </c>
      <c r="AS43" s="97"/>
      <c r="AT43" s="98"/>
      <c r="AU43" s="92"/>
      <c r="AV43" s="93"/>
      <c r="AW43" s="93"/>
      <c r="AX43" s="93"/>
      <c r="AY43" s="93"/>
      <c r="AZ43" s="93"/>
      <c r="BA43" s="94"/>
    </row>
    <row r="44" spans="2:57" ht="14.1" customHeight="1" x14ac:dyDescent="0.25">
      <c r="B44" s="190"/>
      <c r="C44" s="93"/>
      <c r="D44" s="93"/>
      <c r="E44" s="93"/>
      <c r="F44" s="94"/>
      <c r="G44" s="185"/>
      <c r="H44" s="97"/>
      <c r="I44" s="97"/>
      <c r="J44" s="97"/>
      <c r="K44" s="98"/>
      <c r="L44" s="185" t="str">
        <f>IF(G44="","",VLOOKUP($AN$5,'Bases - Cadastro'!A:C,3,0))</f>
        <v/>
      </c>
      <c r="M44" s="97"/>
      <c r="N44" s="97"/>
      <c r="O44" s="97"/>
      <c r="P44" s="98"/>
      <c r="Q44" s="194"/>
      <c r="R44" s="93"/>
      <c r="S44" s="93"/>
      <c r="T44" s="94"/>
      <c r="U44" s="95"/>
      <c r="V44" s="93"/>
      <c r="W44" s="93"/>
      <c r="X44" s="93"/>
      <c r="Y44" s="93"/>
      <c r="Z44" s="94"/>
      <c r="AA44" s="95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4"/>
      <c r="AO44" s="95"/>
      <c r="AP44" s="93"/>
      <c r="AQ44" s="94"/>
      <c r="AR44" s="187" t="str">
        <f>_xlfn.IFNA(VLOOKUP(AO44,'Bases - Cadastro'!$A$37:$B$62,2,0),"")</f>
        <v/>
      </c>
      <c r="AS44" s="97"/>
      <c r="AT44" s="98"/>
      <c r="AU44" s="92"/>
      <c r="AV44" s="93"/>
      <c r="AW44" s="93"/>
      <c r="AX44" s="93"/>
      <c r="AY44" s="93"/>
      <c r="AZ44" s="93"/>
      <c r="BA44" s="94"/>
    </row>
    <row r="45" spans="2:57" ht="14.1" customHeight="1" x14ac:dyDescent="0.25">
      <c r="B45" s="190"/>
      <c r="C45" s="93"/>
      <c r="D45" s="93"/>
      <c r="E45" s="93"/>
      <c r="F45" s="94"/>
      <c r="G45" s="185"/>
      <c r="H45" s="97"/>
      <c r="I45" s="97"/>
      <c r="J45" s="97"/>
      <c r="K45" s="98"/>
      <c r="L45" s="185" t="str">
        <f>IF(G45="","",VLOOKUP($AN$5,'Bases - Cadastro'!A:C,3,0))</f>
        <v/>
      </c>
      <c r="M45" s="97"/>
      <c r="N45" s="97"/>
      <c r="O45" s="97"/>
      <c r="P45" s="98"/>
      <c r="Q45" s="194"/>
      <c r="R45" s="93"/>
      <c r="S45" s="93"/>
      <c r="T45" s="94"/>
      <c r="U45" s="95"/>
      <c r="V45" s="93"/>
      <c r="W45" s="93"/>
      <c r="X45" s="93"/>
      <c r="Y45" s="93"/>
      <c r="Z45" s="94"/>
      <c r="AA45" s="95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4"/>
      <c r="AO45" s="95"/>
      <c r="AP45" s="93"/>
      <c r="AQ45" s="94"/>
      <c r="AR45" s="187" t="str">
        <f>_xlfn.IFNA(VLOOKUP(AO45,'Bases - Cadastro'!$A$37:$B$62,2,0),"")</f>
        <v/>
      </c>
      <c r="AS45" s="97"/>
      <c r="AT45" s="98"/>
      <c r="AU45" s="92"/>
      <c r="AV45" s="93"/>
      <c r="AW45" s="93"/>
      <c r="AX45" s="93"/>
      <c r="AY45" s="93"/>
      <c r="AZ45" s="93"/>
      <c r="BA45" s="94"/>
    </row>
    <row r="46" spans="2:57" ht="14.1" customHeight="1" x14ac:dyDescent="0.25">
      <c r="B46" s="190"/>
      <c r="C46" s="93"/>
      <c r="D46" s="93"/>
      <c r="E46" s="93"/>
      <c r="F46" s="94"/>
      <c r="G46" s="185"/>
      <c r="H46" s="97"/>
      <c r="I46" s="97"/>
      <c r="J46" s="97"/>
      <c r="K46" s="98"/>
      <c r="L46" s="185" t="str">
        <f>IF(G46="","",VLOOKUP($AN$5,'Bases - Cadastro'!A:C,3,0))</f>
        <v/>
      </c>
      <c r="M46" s="97"/>
      <c r="N46" s="97"/>
      <c r="O46" s="97"/>
      <c r="P46" s="98"/>
      <c r="Q46" s="194"/>
      <c r="R46" s="93"/>
      <c r="S46" s="93"/>
      <c r="T46" s="94"/>
      <c r="U46" s="95"/>
      <c r="V46" s="93"/>
      <c r="W46" s="93"/>
      <c r="X46" s="93"/>
      <c r="Y46" s="93"/>
      <c r="Z46" s="94"/>
      <c r="AA46" s="95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4"/>
      <c r="AO46" s="95"/>
      <c r="AP46" s="93"/>
      <c r="AQ46" s="94"/>
      <c r="AR46" s="187" t="str">
        <f>_xlfn.IFNA(VLOOKUP(AO46,'Bases - Cadastro'!$A$37:$B$62,2,0),"")</f>
        <v/>
      </c>
      <c r="AS46" s="97"/>
      <c r="AT46" s="98"/>
      <c r="AU46" s="92"/>
      <c r="AV46" s="93"/>
      <c r="AW46" s="93"/>
      <c r="AX46" s="93"/>
      <c r="AY46" s="93"/>
      <c r="AZ46" s="93"/>
      <c r="BA46" s="94"/>
    </row>
    <row r="47" spans="2:57" ht="14.1" customHeight="1" x14ac:dyDescent="0.25">
      <c r="B47" s="190"/>
      <c r="C47" s="93"/>
      <c r="D47" s="93"/>
      <c r="E47" s="93"/>
      <c r="F47" s="94"/>
      <c r="G47" s="185"/>
      <c r="H47" s="97"/>
      <c r="I47" s="97"/>
      <c r="J47" s="97"/>
      <c r="K47" s="98"/>
      <c r="L47" s="185" t="str">
        <f>IF(G47="","",VLOOKUP($AN$5,'Bases - Cadastro'!A:C,3,0))</f>
        <v/>
      </c>
      <c r="M47" s="97"/>
      <c r="N47" s="97"/>
      <c r="O47" s="97"/>
      <c r="P47" s="98"/>
      <c r="Q47" s="194"/>
      <c r="R47" s="93"/>
      <c r="S47" s="93"/>
      <c r="T47" s="94"/>
      <c r="U47" s="95"/>
      <c r="V47" s="93"/>
      <c r="W47" s="93"/>
      <c r="X47" s="93"/>
      <c r="Y47" s="93"/>
      <c r="Z47" s="94"/>
      <c r="AA47" s="95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4"/>
      <c r="AO47" s="95"/>
      <c r="AP47" s="93"/>
      <c r="AQ47" s="94"/>
      <c r="AR47" s="187" t="str">
        <f>_xlfn.IFNA(VLOOKUP(AO47,'Bases - Cadastro'!$A$37:$B$62,2,0),"")</f>
        <v/>
      </c>
      <c r="AS47" s="97"/>
      <c r="AT47" s="98"/>
      <c r="AU47" s="92"/>
      <c r="AV47" s="93"/>
      <c r="AW47" s="93"/>
      <c r="AX47" s="93"/>
      <c r="AY47" s="93"/>
      <c r="AZ47" s="93"/>
      <c r="BA47" s="94"/>
    </row>
    <row r="48" spans="2:57" ht="14.1" customHeight="1" x14ac:dyDescent="0.25">
      <c r="B48" s="190"/>
      <c r="C48" s="93"/>
      <c r="D48" s="93"/>
      <c r="E48" s="93"/>
      <c r="F48" s="94"/>
      <c r="G48" s="185"/>
      <c r="H48" s="97"/>
      <c r="I48" s="97"/>
      <c r="J48" s="97"/>
      <c r="K48" s="98"/>
      <c r="L48" s="185" t="str">
        <f>IF(G48="","",VLOOKUP($AN$5,'Bases - Cadastro'!A:C,3,0))</f>
        <v/>
      </c>
      <c r="M48" s="97"/>
      <c r="N48" s="97"/>
      <c r="O48" s="97"/>
      <c r="P48" s="98"/>
      <c r="Q48" s="194"/>
      <c r="R48" s="93"/>
      <c r="S48" s="93"/>
      <c r="T48" s="94"/>
      <c r="U48" s="95"/>
      <c r="V48" s="93"/>
      <c r="W48" s="93"/>
      <c r="X48" s="93"/>
      <c r="Y48" s="93"/>
      <c r="Z48" s="94"/>
      <c r="AA48" s="95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4"/>
      <c r="AO48" s="95"/>
      <c r="AP48" s="93"/>
      <c r="AQ48" s="94"/>
      <c r="AR48" s="187" t="str">
        <f>_xlfn.IFNA(VLOOKUP(AO48,'Bases - Cadastro'!$A$37:$B$62,2,0),"")</f>
        <v/>
      </c>
      <c r="AS48" s="97"/>
      <c r="AT48" s="98"/>
      <c r="AU48" s="92"/>
      <c r="AV48" s="93"/>
      <c r="AW48" s="93"/>
      <c r="AX48" s="93"/>
      <c r="AY48" s="93"/>
      <c r="AZ48" s="93"/>
      <c r="BA48" s="94"/>
    </row>
    <row r="49" spans="2:53" ht="14.1" customHeight="1" x14ac:dyDescent="0.25">
      <c r="B49" s="190"/>
      <c r="C49" s="93"/>
      <c r="D49" s="93"/>
      <c r="E49" s="93"/>
      <c r="F49" s="94"/>
      <c r="G49" s="185"/>
      <c r="H49" s="97"/>
      <c r="I49" s="97"/>
      <c r="J49" s="97"/>
      <c r="K49" s="98"/>
      <c r="L49" s="185" t="str">
        <f>IF(G49="","",VLOOKUP($AN$5,'Bases - Cadastro'!A:C,3,0))</f>
        <v/>
      </c>
      <c r="M49" s="97"/>
      <c r="N49" s="97"/>
      <c r="O49" s="97"/>
      <c r="P49" s="98"/>
      <c r="Q49" s="194"/>
      <c r="R49" s="93"/>
      <c r="S49" s="93"/>
      <c r="T49" s="94"/>
      <c r="U49" s="95"/>
      <c r="V49" s="93"/>
      <c r="W49" s="93"/>
      <c r="X49" s="93"/>
      <c r="Y49" s="93"/>
      <c r="Z49" s="94"/>
      <c r="AA49" s="95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4"/>
      <c r="AO49" s="95"/>
      <c r="AP49" s="93"/>
      <c r="AQ49" s="94"/>
      <c r="AR49" s="187" t="str">
        <f>_xlfn.IFNA(VLOOKUP(AO49,'Bases - Cadastro'!$A$37:$B$62,2,0),"")</f>
        <v/>
      </c>
      <c r="AS49" s="97"/>
      <c r="AT49" s="98"/>
      <c r="AU49" s="92"/>
      <c r="AV49" s="93"/>
      <c r="AW49" s="93"/>
      <c r="AX49" s="93"/>
      <c r="AY49" s="93"/>
      <c r="AZ49" s="93"/>
      <c r="BA49" s="94"/>
    </row>
    <row r="50" spans="2:53" ht="14.1" customHeight="1" x14ac:dyDescent="0.25">
      <c r="B50" s="190"/>
      <c r="C50" s="93"/>
      <c r="D50" s="93"/>
      <c r="E50" s="93"/>
      <c r="F50" s="94"/>
      <c r="G50" s="185"/>
      <c r="H50" s="97"/>
      <c r="I50" s="97"/>
      <c r="J50" s="97"/>
      <c r="K50" s="98"/>
      <c r="L50" s="185" t="str">
        <f>IF(G50="","",VLOOKUP($AN$5,'Bases - Cadastro'!A:C,3,0))</f>
        <v/>
      </c>
      <c r="M50" s="97"/>
      <c r="N50" s="97"/>
      <c r="O50" s="97"/>
      <c r="P50" s="98"/>
      <c r="Q50" s="194"/>
      <c r="R50" s="93"/>
      <c r="S50" s="93"/>
      <c r="T50" s="94"/>
      <c r="U50" s="95"/>
      <c r="V50" s="93"/>
      <c r="W50" s="93"/>
      <c r="X50" s="93"/>
      <c r="Y50" s="93"/>
      <c r="Z50" s="94"/>
      <c r="AA50" s="95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4"/>
      <c r="AO50" s="95"/>
      <c r="AP50" s="93"/>
      <c r="AQ50" s="94"/>
      <c r="AR50" s="187" t="str">
        <f>_xlfn.IFNA(VLOOKUP(AO50,'Bases - Cadastro'!$A$37:$B$62,2,0),"")</f>
        <v/>
      </c>
      <c r="AS50" s="97"/>
      <c r="AT50" s="98"/>
      <c r="AU50" s="92"/>
      <c r="AV50" s="93"/>
      <c r="AW50" s="93"/>
      <c r="AX50" s="93"/>
      <c r="AY50" s="93"/>
      <c r="AZ50" s="93"/>
      <c r="BA50" s="94"/>
    </row>
    <row r="51" spans="2:53" ht="14.1" customHeight="1" x14ac:dyDescent="0.25">
      <c r="B51" s="190"/>
      <c r="C51" s="93"/>
      <c r="D51" s="93"/>
      <c r="E51" s="93"/>
      <c r="F51" s="94"/>
      <c r="G51" s="185"/>
      <c r="H51" s="97"/>
      <c r="I51" s="97"/>
      <c r="J51" s="97"/>
      <c r="K51" s="98"/>
      <c r="L51" s="185" t="str">
        <f>IF(G51="","",VLOOKUP($AN$5,'Bases - Cadastro'!A:C,3,0))</f>
        <v/>
      </c>
      <c r="M51" s="97"/>
      <c r="N51" s="97"/>
      <c r="O51" s="97"/>
      <c r="P51" s="98"/>
      <c r="Q51" s="194"/>
      <c r="R51" s="93"/>
      <c r="S51" s="93"/>
      <c r="T51" s="94"/>
      <c r="U51" s="95"/>
      <c r="V51" s="93"/>
      <c r="W51" s="93"/>
      <c r="X51" s="93"/>
      <c r="Y51" s="93"/>
      <c r="Z51" s="94"/>
      <c r="AA51" s="95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4"/>
      <c r="AO51" s="95"/>
      <c r="AP51" s="93"/>
      <c r="AQ51" s="94"/>
      <c r="AR51" s="187" t="str">
        <f>_xlfn.IFNA(VLOOKUP(AO51,'Bases - Cadastro'!$A$37:$B$62,2,0),"")</f>
        <v/>
      </c>
      <c r="AS51" s="97"/>
      <c r="AT51" s="98"/>
      <c r="AU51" s="92"/>
      <c r="AV51" s="93"/>
      <c r="AW51" s="93"/>
      <c r="AX51" s="93"/>
      <c r="AY51" s="93"/>
      <c r="AZ51" s="93"/>
      <c r="BA51" s="94"/>
    </row>
    <row r="52" spans="2:53" ht="14.1" customHeight="1" x14ac:dyDescent="0.25">
      <c r="B52" s="190"/>
      <c r="C52" s="93"/>
      <c r="D52" s="93"/>
      <c r="E52" s="93"/>
      <c r="F52" s="94"/>
      <c r="G52" s="185"/>
      <c r="H52" s="97"/>
      <c r="I52" s="97"/>
      <c r="J52" s="97"/>
      <c r="K52" s="98"/>
      <c r="L52" s="185" t="str">
        <f>IF(G52="","",VLOOKUP($AN$5,'Bases - Cadastro'!A:C,3,0))</f>
        <v/>
      </c>
      <c r="M52" s="97"/>
      <c r="N52" s="97"/>
      <c r="O52" s="97"/>
      <c r="P52" s="98"/>
      <c r="Q52" s="194"/>
      <c r="R52" s="93"/>
      <c r="S52" s="93"/>
      <c r="T52" s="94"/>
      <c r="U52" s="95"/>
      <c r="V52" s="93"/>
      <c r="W52" s="93"/>
      <c r="X52" s="93"/>
      <c r="Y52" s="93"/>
      <c r="Z52" s="94"/>
      <c r="AA52" s="95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4"/>
      <c r="AO52" s="95"/>
      <c r="AP52" s="93"/>
      <c r="AQ52" s="94"/>
      <c r="AR52" s="187" t="str">
        <f>_xlfn.IFNA(VLOOKUP(AO52,'Bases - Cadastro'!$A$37:$B$62,2,0),"")</f>
        <v/>
      </c>
      <c r="AS52" s="97"/>
      <c r="AT52" s="98"/>
      <c r="AU52" s="92"/>
      <c r="AV52" s="93"/>
      <c r="AW52" s="93"/>
      <c r="AX52" s="93"/>
      <c r="AY52" s="93"/>
      <c r="AZ52" s="93"/>
      <c r="BA52" s="94"/>
    </row>
    <row r="53" spans="2:53" ht="14.1" customHeight="1" x14ac:dyDescent="0.25">
      <c r="B53" s="190"/>
      <c r="C53" s="93"/>
      <c r="D53" s="93"/>
      <c r="E53" s="93"/>
      <c r="F53" s="94"/>
      <c r="G53" s="185"/>
      <c r="H53" s="97"/>
      <c r="I53" s="97"/>
      <c r="J53" s="97"/>
      <c r="K53" s="98"/>
      <c r="L53" s="185" t="str">
        <f>IF(G53="","",VLOOKUP($AN$5,'Bases - Cadastro'!A:C,3,0))</f>
        <v/>
      </c>
      <c r="M53" s="97"/>
      <c r="N53" s="97"/>
      <c r="O53" s="97"/>
      <c r="P53" s="98"/>
      <c r="Q53" s="194"/>
      <c r="R53" s="93"/>
      <c r="S53" s="93"/>
      <c r="T53" s="94"/>
      <c r="U53" s="95"/>
      <c r="V53" s="93"/>
      <c r="W53" s="93"/>
      <c r="X53" s="93"/>
      <c r="Y53" s="93"/>
      <c r="Z53" s="94"/>
      <c r="AA53" s="95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4"/>
      <c r="AO53" s="95"/>
      <c r="AP53" s="93"/>
      <c r="AQ53" s="94"/>
      <c r="AR53" s="187" t="str">
        <f>_xlfn.IFNA(VLOOKUP(AO53,'Bases - Cadastro'!$A$37:$B$62,2,0),"")</f>
        <v/>
      </c>
      <c r="AS53" s="97"/>
      <c r="AT53" s="98"/>
      <c r="AU53" s="92"/>
      <c r="AV53" s="93"/>
      <c r="AW53" s="93"/>
      <c r="AX53" s="93"/>
      <c r="AY53" s="93"/>
      <c r="AZ53" s="93"/>
      <c r="BA53" s="94"/>
    </row>
    <row r="54" spans="2:53" ht="14.1" customHeight="1" x14ac:dyDescent="0.25">
      <c r="B54" s="190"/>
      <c r="C54" s="93"/>
      <c r="D54" s="93"/>
      <c r="E54" s="93"/>
      <c r="F54" s="94"/>
      <c r="G54" s="185"/>
      <c r="H54" s="97"/>
      <c r="I54" s="97"/>
      <c r="J54" s="97"/>
      <c r="K54" s="98"/>
      <c r="L54" s="185" t="str">
        <f>IF(G54="","",VLOOKUP($AN$5,'Bases - Cadastro'!A:C,3,0))</f>
        <v/>
      </c>
      <c r="M54" s="97"/>
      <c r="N54" s="97"/>
      <c r="O54" s="97"/>
      <c r="P54" s="98"/>
      <c r="Q54" s="194"/>
      <c r="R54" s="93"/>
      <c r="S54" s="93"/>
      <c r="T54" s="94"/>
      <c r="U54" s="95"/>
      <c r="V54" s="93"/>
      <c r="W54" s="93"/>
      <c r="X54" s="93"/>
      <c r="Y54" s="93"/>
      <c r="Z54" s="94"/>
      <c r="AA54" s="95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4"/>
      <c r="AO54" s="95"/>
      <c r="AP54" s="93"/>
      <c r="AQ54" s="94"/>
      <c r="AR54" s="187" t="str">
        <f>_xlfn.IFNA(VLOOKUP(AO54,'Bases - Cadastro'!$A$37:$B$62,2,0),"")</f>
        <v/>
      </c>
      <c r="AS54" s="97"/>
      <c r="AT54" s="98"/>
      <c r="AU54" s="92"/>
      <c r="AV54" s="93"/>
      <c r="AW54" s="93"/>
      <c r="AX54" s="93"/>
      <c r="AY54" s="93"/>
      <c r="AZ54" s="93"/>
      <c r="BA54" s="94"/>
    </row>
    <row r="55" spans="2:53" ht="14.1" customHeight="1" x14ac:dyDescent="0.25">
      <c r="B55" s="190"/>
      <c r="C55" s="93"/>
      <c r="D55" s="93"/>
      <c r="E55" s="93"/>
      <c r="F55" s="94"/>
      <c r="G55" s="185"/>
      <c r="H55" s="97"/>
      <c r="I55" s="97"/>
      <c r="J55" s="97"/>
      <c r="K55" s="98"/>
      <c r="L55" s="185" t="str">
        <f>IF(G55="","",VLOOKUP($AN$5,'Bases - Cadastro'!A:C,3,0))</f>
        <v/>
      </c>
      <c r="M55" s="97"/>
      <c r="N55" s="97"/>
      <c r="O55" s="97"/>
      <c r="P55" s="98"/>
      <c r="Q55" s="194"/>
      <c r="R55" s="93"/>
      <c r="S55" s="93"/>
      <c r="T55" s="94"/>
      <c r="U55" s="95"/>
      <c r="V55" s="93"/>
      <c r="W55" s="93"/>
      <c r="X55" s="93"/>
      <c r="Y55" s="93"/>
      <c r="Z55" s="94"/>
      <c r="AA55" s="95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4"/>
      <c r="AO55" s="95"/>
      <c r="AP55" s="93"/>
      <c r="AQ55" s="94"/>
      <c r="AR55" s="187" t="str">
        <f>_xlfn.IFNA(VLOOKUP(AO55,'Bases - Cadastro'!$A$37:$B$62,2,0),"")</f>
        <v/>
      </c>
      <c r="AS55" s="97"/>
      <c r="AT55" s="98"/>
      <c r="AU55" s="92"/>
      <c r="AV55" s="93"/>
      <c r="AW55" s="93"/>
      <c r="AX55" s="93"/>
      <c r="AY55" s="93"/>
      <c r="AZ55" s="93"/>
      <c r="BA55" s="94"/>
    </row>
    <row r="56" spans="2:53" ht="14.1" customHeight="1" x14ac:dyDescent="0.25">
      <c r="B56" s="190"/>
      <c r="C56" s="93"/>
      <c r="D56" s="93"/>
      <c r="E56" s="93"/>
      <c r="F56" s="94"/>
      <c r="G56" s="185"/>
      <c r="H56" s="97"/>
      <c r="I56" s="97"/>
      <c r="J56" s="97"/>
      <c r="K56" s="98"/>
      <c r="L56" s="185" t="str">
        <f>IF(G56="","",VLOOKUP($AN$5,'Bases - Cadastro'!A:C,3,0))</f>
        <v/>
      </c>
      <c r="M56" s="97"/>
      <c r="N56" s="97"/>
      <c r="O56" s="97"/>
      <c r="P56" s="98"/>
      <c r="Q56" s="194"/>
      <c r="R56" s="93"/>
      <c r="S56" s="93"/>
      <c r="T56" s="94"/>
      <c r="U56" s="95"/>
      <c r="V56" s="93"/>
      <c r="W56" s="93"/>
      <c r="X56" s="93"/>
      <c r="Y56" s="93"/>
      <c r="Z56" s="94"/>
      <c r="AA56" s="95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4"/>
      <c r="AO56" s="95"/>
      <c r="AP56" s="93"/>
      <c r="AQ56" s="94"/>
      <c r="AR56" s="187" t="str">
        <f>_xlfn.IFNA(VLOOKUP(AO56,'Bases - Cadastro'!$A$37:$B$62,2,0),"")</f>
        <v/>
      </c>
      <c r="AS56" s="97"/>
      <c r="AT56" s="98"/>
      <c r="AU56" s="92"/>
      <c r="AV56" s="93"/>
      <c r="AW56" s="93"/>
      <c r="AX56" s="93"/>
      <c r="AY56" s="93"/>
      <c r="AZ56" s="93"/>
      <c r="BA56" s="94"/>
    </row>
    <row r="57" spans="2:53" ht="14.1" customHeight="1" x14ac:dyDescent="0.25">
      <c r="B57" s="190"/>
      <c r="C57" s="93"/>
      <c r="D57" s="93"/>
      <c r="E57" s="93"/>
      <c r="F57" s="94"/>
      <c r="G57" s="185"/>
      <c r="H57" s="97"/>
      <c r="I57" s="97"/>
      <c r="J57" s="97"/>
      <c r="K57" s="98"/>
      <c r="L57" s="185" t="str">
        <f>IF(G57="","",VLOOKUP($AN$5,'Bases - Cadastro'!A:C,3,0))</f>
        <v/>
      </c>
      <c r="M57" s="97"/>
      <c r="N57" s="97"/>
      <c r="O57" s="97"/>
      <c r="P57" s="98"/>
      <c r="Q57" s="194"/>
      <c r="R57" s="93"/>
      <c r="S57" s="93"/>
      <c r="T57" s="94"/>
      <c r="U57" s="95"/>
      <c r="V57" s="93"/>
      <c r="W57" s="93"/>
      <c r="X57" s="93"/>
      <c r="Y57" s="93"/>
      <c r="Z57" s="94"/>
      <c r="AA57" s="95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4"/>
      <c r="AO57" s="95"/>
      <c r="AP57" s="93"/>
      <c r="AQ57" s="94"/>
      <c r="AR57" s="187" t="str">
        <f>_xlfn.IFNA(VLOOKUP(AO57,'Bases - Cadastro'!$A$37:$B$62,2,0),"")</f>
        <v/>
      </c>
      <c r="AS57" s="97"/>
      <c r="AT57" s="98"/>
      <c r="AU57" s="92"/>
      <c r="AV57" s="93"/>
      <c r="AW57" s="93"/>
      <c r="AX57" s="93"/>
      <c r="AY57" s="93"/>
      <c r="AZ57" s="93"/>
      <c r="BA57" s="94"/>
    </row>
    <row r="58" spans="2:53" ht="14.1" customHeight="1" x14ac:dyDescent="0.25">
      <c r="B58" s="190"/>
      <c r="C58" s="93"/>
      <c r="D58" s="93"/>
      <c r="E58" s="93"/>
      <c r="F58" s="94"/>
      <c r="G58" s="185"/>
      <c r="H58" s="97"/>
      <c r="I58" s="97"/>
      <c r="J58" s="97"/>
      <c r="K58" s="98"/>
      <c r="L58" s="185" t="str">
        <f>IF(G58="","",VLOOKUP($AN$5,'Bases - Cadastro'!A:C,3,0))</f>
        <v/>
      </c>
      <c r="M58" s="97"/>
      <c r="N58" s="97"/>
      <c r="O58" s="97"/>
      <c r="P58" s="98"/>
      <c r="Q58" s="194"/>
      <c r="R58" s="93"/>
      <c r="S58" s="93"/>
      <c r="T58" s="94"/>
      <c r="U58" s="95"/>
      <c r="V58" s="93"/>
      <c r="W58" s="93"/>
      <c r="X58" s="93"/>
      <c r="Y58" s="93"/>
      <c r="Z58" s="94"/>
      <c r="AA58" s="95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4"/>
      <c r="AO58" s="95"/>
      <c r="AP58" s="93"/>
      <c r="AQ58" s="94"/>
      <c r="AR58" s="187" t="str">
        <f>_xlfn.IFNA(VLOOKUP(AO58,'Bases - Cadastro'!$A$37:$B$62,2,0),"")</f>
        <v/>
      </c>
      <c r="AS58" s="97"/>
      <c r="AT58" s="98"/>
      <c r="AU58" s="184"/>
      <c r="AV58" s="93"/>
      <c r="AW58" s="93"/>
      <c r="AX58" s="93"/>
      <c r="AY58" s="93"/>
      <c r="AZ58" s="93"/>
      <c r="BA58" s="94"/>
    </row>
    <row r="59" spans="2:53" ht="14.1" customHeight="1" x14ac:dyDescent="0.25">
      <c r="B59" s="190"/>
      <c r="C59" s="93"/>
      <c r="D59" s="93"/>
      <c r="E59" s="93"/>
      <c r="F59" s="94"/>
      <c r="G59" s="185"/>
      <c r="H59" s="97"/>
      <c r="I59" s="97"/>
      <c r="J59" s="97"/>
      <c r="K59" s="98"/>
      <c r="L59" s="185" t="str">
        <f>IF(G59="","",VLOOKUP($AN$5,'Bases - Cadastro'!A:C,3,0))</f>
        <v/>
      </c>
      <c r="M59" s="97"/>
      <c r="N59" s="97"/>
      <c r="O59" s="97"/>
      <c r="P59" s="98"/>
      <c r="Q59" s="194"/>
      <c r="R59" s="93"/>
      <c r="S59" s="93"/>
      <c r="T59" s="94"/>
      <c r="U59" s="95"/>
      <c r="V59" s="93"/>
      <c r="W59" s="93"/>
      <c r="X59" s="93"/>
      <c r="Y59" s="93"/>
      <c r="Z59" s="94"/>
      <c r="AA59" s="95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4"/>
      <c r="AO59" s="95"/>
      <c r="AP59" s="93"/>
      <c r="AQ59" s="94"/>
      <c r="AR59" s="187" t="str">
        <f>_xlfn.IFNA(VLOOKUP(AO59,'Bases - Cadastro'!$A$37:$B$62,2,0),"")</f>
        <v/>
      </c>
      <c r="AS59" s="97"/>
      <c r="AT59" s="98"/>
      <c r="AU59" s="184"/>
      <c r="AV59" s="93"/>
      <c r="AW59" s="93"/>
      <c r="AX59" s="93"/>
      <c r="AY59" s="93"/>
      <c r="AZ59" s="93"/>
      <c r="BA59" s="94"/>
    </row>
    <row r="60" spans="2:53" ht="14.1" customHeight="1" x14ac:dyDescent="0.25">
      <c r="B60" s="190"/>
      <c r="C60" s="93"/>
      <c r="D60" s="93"/>
      <c r="E60" s="93"/>
      <c r="F60" s="94"/>
      <c r="G60" s="185"/>
      <c r="H60" s="97"/>
      <c r="I60" s="97"/>
      <c r="J60" s="97"/>
      <c r="K60" s="98"/>
      <c r="L60" s="185" t="str">
        <f>IF(G60="","",VLOOKUP($AN$5,'Bases - Cadastro'!A:C,3,0))</f>
        <v/>
      </c>
      <c r="M60" s="97"/>
      <c r="N60" s="97"/>
      <c r="O60" s="97"/>
      <c r="P60" s="98"/>
      <c r="Q60" s="194"/>
      <c r="R60" s="93"/>
      <c r="S60" s="93"/>
      <c r="T60" s="94"/>
      <c r="U60" s="95"/>
      <c r="V60" s="93"/>
      <c r="W60" s="93"/>
      <c r="X60" s="93"/>
      <c r="Y60" s="93"/>
      <c r="Z60" s="94"/>
      <c r="AA60" s="95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4"/>
      <c r="AO60" s="95"/>
      <c r="AP60" s="93"/>
      <c r="AQ60" s="94"/>
      <c r="AR60" s="187" t="str">
        <f>_xlfn.IFNA(VLOOKUP(AO60,'Bases - Cadastro'!$A$37:$B$62,2,0),"")</f>
        <v/>
      </c>
      <c r="AS60" s="97"/>
      <c r="AT60" s="98"/>
      <c r="AU60" s="184"/>
      <c r="AV60" s="93"/>
      <c r="AW60" s="93"/>
      <c r="AX60" s="93"/>
      <c r="AY60" s="93"/>
      <c r="AZ60" s="93"/>
      <c r="BA60" s="94"/>
    </row>
    <row r="61" spans="2:53" ht="14.1" customHeight="1" x14ac:dyDescent="0.25">
      <c r="B61" s="190"/>
      <c r="C61" s="93"/>
      <c r="D61" s="93"/>
      <c r="E61" s="93"/>
      <c r="F61" s="94"/>
      <c r="G61" s="185"/>
      <c r="H61" s="97"/>
      <c r="I61" s="97"/>
      <c r="J61" s="97"/>
      <c r="K61" s="98"/>
      <c r="L61" s="185" t="str">
        <f>IF(G61="","",VLOOKUP($AN$5,'Bases - Cadastro'!A:C,3,0))</f>
        <v/>
      </c>
      <c r="M61" s="97"/>
      <c r="N61" s="97"/>
      <c r="O61" s="97"/>
      <c r="P61" s="98"/>
      <c r="Q61" s="194"/>
      <c r="R61" s="93"/>
      <c r="S61" s="93"/>
      <c r="T61" s="94"/>
      <c r="U61" s="95"/>
      <c r="V61" s="93"/>
      <c r="W61" s="93"/>
      <c r="X61" s="93"/>
      <c r="Y61" s="93"/>
      <c r="Z61" s="94"/>
      <c r="AA61" s="95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4"/>
      <c r="AO61" s="95"/>
      <c r="AP61" s="93"/>
      <c r="AQ61" s="94"/>
      <c r="AR61" s="187" t="str">
        <f>_xlfn.IFNA(VLOOKUP(AO61,'Bases - Cadastro'!$A$37:$B$62,2,0),"")</f>
        <v/>
      </c>
      <c r="AS61" s="97"/>
      <c r="AT61" s="98"/>
      <c r="AU61" s="184"/>
      <c r="AV61" s="93"/>
      <c r="AW61" s="93"/>
      <c r="AX61" s="93"/>
      <c r="AY61" s="93"/>
      <c r="AZ61" s="93"/>
      <c r="BA61" s="94"/>
    </row>
    <row r="62" spans="2:53" ht="14.1" customHeight="1" x14ac:dyDescent="0.25">
      <c r="B62" s="190"/>
      <c r="C62" s="93"/>
      <c r="D62" s="93"/>
      <c r="E62" s="93"/>
      <c r="F62" s="94"/>
      <c r="G62" s="185"/>
      <c r="H62" s="97"/>
      <c r="I62" s="97"/>
      <c r="J62" s="97"/>
      <c r="K62" s="98"/>
      <c r="L62" s="185" t="str">
        <f>IF(G62="","",VLOOKUP($AN$5,'Bases - Cadastro'!A:C,3,0))</f>
        <v/>
      </c>
      <c r="M62" s="97"/>
      <c r="N62" s="97"/>
      <c r="O62" s="97"/>
      <c r="P62" s="98"/>
      <c r="Q62" s="194"/>
      <c r="R62" s="93"/>
      <c r="S62" s="93"/>
      <c r="T62" s="94"/>
      <c r="U62" s="95"/>
      <c r="V62" s="93"/>
      <c r="W62" s="93"/>
      <c r="X62" s="93"/>
      <c r="Y62" s="93"/>
      <c r="Z62" s="94"/>
      <c r="AA62" s="95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4"/>
      <c r="AO62" s="95"/>
      <c r="AP62" s="93"/>
      <c r="AQ62" s="94"/>
      <c r="AR62" s="187" t="str">
        <f>_xlfn.IFNA(VLOOKUP(AO62,'Bases - Cadastro'!$A$37:$B$62,2,0),"")</f>
        <v/>
      </c>
      <c r="AS62" s="97"/>
      <c r="AT62" s="98"/>
      <c r="AU62" s="184"/>
      <c r="AV62" s="93"/>
      <c r="AW62" s="93"/>
      <c r="AX62" s="93"/>
      <c r="AY62" s="93"/>
      <c r="AZ62" s="93"/>
      <c r="BA62" s="94"/>
    </row>
    <row r="63" spans="2:53" ht="13.95" customHeight="1" x14ac:dyDescent="0.25">
      <c r="B63" s="190"/>
      <c r="C63" s="93"/>
      <c r="D63" s="93"/>
      <c r="E63" s="93"/>
      <c r="F63" s="94"/>
      <c r="G63" s="185"/>
      <c r="H63" s="97"/>
      <c r="I63" s="97"/>
      <c r="J63" s="97"/>
      <c r="K63" s="98"/>
      <c r="L63" s="185" t="str">
        <f>IF(G63="","",VLOOKUP($AN$5,'Bases - Cadastro'!A:C,3,0))</f>
        <v/>
      </c>
      <c r="M63" s="97"/>
      <c r="N63" s="97"/>
      <c r="O63" s="97"/>
      <c r="P63" s="98"/>
      <c r="Q63" s="194"/>
      <c r="R63" s="93"/>
      <c r="S63" s="93"/>
      <c r="T63" s="94"/>
      <c r="U63" s="95"/>
      <c r="V63" s="93"/>
      <c r="W63" s="93"/>
      <c r="X63" s="93"/>
      <c r="Y63" s="93"/>
      <c r="Z63" s="94"/>
      <c r="AA63" s="95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4"/>
      <c r="AO63" s="95"/>
      <c r="AP63" s="93"/>
      <c r="AQ63" s="94"/>
      <c r="AR63" s="187" t="str">
        <f>_xlfn.IFNA(VLOOKUP(AO63,'Bases - Cadastro'!$A$37:$B$62,2,0),"")</f>
        <v/>
      </c>
      <c r="AS63" s="97"/>
      <c r="AT63" s="98"/>
      <c r="AU63" s="184"/>
      <c r="AV63" s="93"/>
      <c r="AW63" s="93"/>
      <c r="AX63" s="93"/>
      <c r="AY63" s="93"/>
      <c r="AZ63" s="93"/>
      <c r="BA63" s="94"/>
    </row>
    <row r="64" spans="2:53" ht="13.95" customHeight="1" x14ac:dyDescent="0.25">
      <c r="B64" s="190"/>
      <c r="C64" s="93"/>
      <c r="D64" s="93"/>
      <c r="E64" s="93"/>
      <c r="F64" s="94"/>
      <c r="G64" s="185"/>
      <c r="H64" s="97"/>
      <c r="I64" s="97"/>
      <c r="J64" s="97"/>
      <c r="K64" s="98"/>
      <c r="L64" s="185" t="str">
        <f>IF(G64="","",VLOOKUP($AN$5,'Bases - Cadastro'!A:C,3,0))</f>
        <v/>
      </c>
      <c r="M64" s="97"/>
      <c r="N64" s="97"/>
      <c r="O64" s="97"/>
      <c r="P64" s="98"/>
      <c r="Q64" s="194"/>
      <c r="R64" s="93"/>
      <c r="S64" s="93"/>
      <c r="T64" s="94"/>
      <c r="U64" s="95"/>
      <c r="V64" s="93"/>
      <c r="W64" s="93"/>
      <c r="X64" s="93"/>
      <c r="Y64" s="93"/>
      <c r="Z64" s="94"/>
      <c r="AA64" s="95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4"/>
      <c r="AO64" s="95"/>
      <c r="AP64" s="93"/>
      <c r="AQ64" s="94"/>
      <c r="AR64" s="187" t="str">
        <f>_xlfn.IFNA(VLOOKUP(AO64,'Bases - Cadastro'!$A$37:$B$62,2,0),"")</f>
        <v/>
      </c>
      <c r="AS64" s="97"/>
      <c r="AT64" s="98"/>
      <c r="AU64" s="196"/>
      <c r="AV64" s="93"/>
      <c r="AW64" s="93"/>
      <c r="AX64" s="93"/>
      <c r="AY64" s="93"/>
      <c r="AZ64" s="93"/>
      <c r="BA64" s="94"/>
    </row>
    <row r="65" spans="2:57" ht="13.95" customHeight="1" x14ac:dyDescent="0.25">
      <c r="B65" s="190"/>
      <c r="C65" s="93"/>
      <c r="D65" s="93"/>
      <c r="E65" s="93"/>
      <c r="F65" s="94"/>
      <c r="G65" s="185"/>
      <c r="H65" s="97"/>
      <c r="I65" s="97"/>
      <c r="J65" s="97"/>
      <c r="K65" s="98"/>
      <c r="L65" s="185" t="str">
        <f>IF(G65="","",VLOOKUP($AN$5,'Bases - Cadastro'!A:C,3,0))</f>
        <v/>
      </c>
      <c r="M65" s="97"/>
      <c r="N65" s="97"/>
      <c r="O65" s="97"/>
      <c r="P65" s="98"/>
      <c r="Q65" s="194"/>
      <c r="R65" s="93"/>
      <c r="S65" s="93"/>
      <c r="T65" s="94"/>
      <c r="U65" s="95"/>
      <c r="V65" s="93"/>
      <c r="W65" s="93"/>
      <c r="X65" s="93"/>
      <c r="Y65" s="93"/>
      <c r="Z65" s="94"/>
      <c r="AA65" s="95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4"/>
      <c r="AO65" s="95"/>
      <c r="AP65" s="93"/>
      <c r="AQ65" s="94"/>
      <c r="AR65" s="187" t="str">
        <f>_xlfn.IFNA(VLOOKUP(AO65,'Bases - Cadastro'!$A$37:$B$62,2,0),"")</f>
        <v/>
      </c>
      <c r="AS65" s="97"/>
      <c r="AT65" s="98"/>
      <c r="AU65" s="196"/>
      <c r="AV65" s="93"/>
      <c r="AW65" s="93"/>
      <c r="AX65" s="93"/>
      <c r="AY65" s="93"/>
      <c r="AZ65" s="93"/>
      <c r="BA65" s="94"/>
    </row>
    <row r="66" spans="2:57" ht="13.95" customHeight="1" x14ac:dyDescent="0.25">
      <c r="B66" s="190"/>
      <c r="C66" s="93"/>
      <c r="D66" s="93"/>
      <c r="E66" s="93"/>
      <c r="F66" s="94"/>
      <c r="G66" s="185"/>
      <c r="H66" s="97"/>
      <c r="I66" s="97"/>
      <c r="J66" s="97"/>
      <c r="K66" s="98"/>
      <c r="L66" s="185" t="str">
        <f>IF(G66="","",VLOOKUP($AN$5,'Bases - Cadastro'!A:C,3,0))</f>
        <v/>
      </c>
      <c r="M66" s="97"/>
      <c r="N66" s="97"/>
      <c r="O66" s="97"/>
      <c r="P66" s="98"/>
      <c r="Q66" s="194"/>
      <c r="R66" s="93"/>
      <c r="S66" s="93"/>
      <c r="T66" s="94"/>
      <c r="U66" s="95"/>
      <c r="V66" s="93"/>
      <c r="W66" s="93"/>
      <c r="X66" s="93"/>
      <c r="Y66" s="93"/>
      <c r="Z66" s="94"/>
      <c r="AA66" s="95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4"/>
      <c r="AO66" s="95"/>
      <c r="AP66" s="93"/>
      <c r="AQ66" s="94"/>
      <c r="AR66" s="187" t="str">
        <f>_xlfn.IFNA(VLOOKUP(AO66,'Bases - Cadastro'!$A$37:$B$62,2,0),"")</f>
        <v/>
      </c>
      <c r="AS66" s="97"/>
      <c r="AT66" s="98"/>
      <c r="AU66" s="196"/>
      <c r="AV66" s="93"/>
      <c r="AW66" s="93"/>
      <c r="AX66" s="93"/>
      <c r="AY66" s="93"/>
      <c r="AZ66" s="93"/>
      <c r="BA66" s="94"/>
    </row>
    <row r="67" spans="2:57" ht="13.5" customHeight="1" x14ac:dyDescent="0.25">
      <c r="B67" s="203" t="s">
        <v>43</v>
      </c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8"/>
      <c r="AU67" s="140">
        <f>SUM(AU29:BA66)</f>
        <v>1384.31</v>
      </c>
      <c r="AV67" s="97"/>
      <c r="AW67" s="97"/>
      <c r="AX67" s="97"/>
      <c r="AY67" s="97"/>
      <c r="AZ67" s="97"/>
      <c r="BA67" s="98"/>
      <c r="BE67" s="71"/>
    </row>
    <row r="68" spans="2:57" ht="11.25" customHeight="1" thickBot="1" x14ac:dyDescent="0.3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AE68" s="16"/>
      <c r="AF68" s="36"/>
      <c r="AG68" s="3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37"/>
      <c r="AU68" s="37"/>
      <c r="AV68" s="37"/>
      <c r="AW68" s="37"/>
      <c r="AX68" s="37"/>
      <c r="AY68" s="37"/>
      <c r="AZ68" s="37"/>
      <c r="BA68" s="37"/>
    </row>
    <row r="69" spans="2:57" ht="14.25" customHeight="1" thickBot="1" x14ac:dyDescent="0.3">
      <c r="B69" s="16"/>
      <c r="C69" s="89" t="s">
        <v>44</v>
      </c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1"/>
      <c r="S69" s="21"/>
      <c r="T69" s="21"/>
      <c r="U69" s="89" t="s">
        <v>45</v>
      </c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1"/>
      <c r="AH69" s="38"/>
    </row>
    <row r="70" spans="2:57" ht="14.25" customHeight="1" thickBot="1" x14ac:dyDescent="0.3">
      <c r="B70" s="16"/>
      <c r="C70" s="89" t="s">
        <v>32</v>
      </c>
      <c r="D70" s="90"/>
      <c r="E70" s="90"/>
      <c r="F70" s="90"/>
      <c r="G70" s="91"/>
      <c r="H70" s="89" t="s">
        <v>47</v>
      </c>
      <c r="I70" s="90"/>
      <c r="J70" s="90"/>
      <c r="K70" s="90"/>
      <c r="L70" s="90"/>
      <c r="M70" s="90"/>
      <c r="N70" s="90"/>
      <c r="O70" s="90"/>
      <c r="P70" s="90"/>
      <c r="Q70" s="90"/>
      <c r="R70" s="91"/>
      <c r="S70" s="21"/>
      <c r="T70" s="21"/>
      <c r="U70" s="89" t="s">
        <v>32</v>
      </c>
      <c r="V70" s="91"/>
      <c r="W70" s="89" t="s">
        <v>47</v>
      </c>
      <c r="X70" s="90"/>
      <c r="Y70" s="90"/>
      <c r="Z70" s="90"/>
      <c r="AA70" s="90"/>
      <c r="AB70" s="90"/>
      <c r="AC70" s="90"/>
      <c r="AD70" s="90"/>
      <c r="AE70" s="90"/>
      <c r="AF70" s="90"/>
      <c r="AG70" s="91"/>
      <c r="AH70" s="38"/>
    </row>
    <row r="71" spans="2:57" ht="45" customHeight="1" thickBot="1" x14ac:dyDescent="0.3">
      <c r="B71" s="16"/>
      <c r="C71" s="191"/>
      <c r="D71" s="90"/>
      <c r="E71" s="90"/>
      <c r="F71" s="90"/>
      <c r="G71" s="91"/>
      <c r="H71" s="123"/>
      <c r="I71" s="117"/>
      <c r="J71" s="117"/>
      <c r="K71" s="117"/>
      <c r="L71" s="117"/>
      <c r="M71" s="117"/>
      <c r="N71" s="117"/>
      <c r="O71" s="117"/>
      <c r="P71" s="117"/>
      <c r="Q71" s="117"/>
      <c r="R71" s="118"/>
      <c r="S71" s="16"/>
      <c r="T71" s="16"/>
      <c r="U71" s="122"/>
      <c r="V71" s="118"/>
      <c r="W71" s="123"/>
      <c r="X71" s="117"/>
      <c r="Y71" s="117"/>
      <c r="Z71" s="117"/>
      <c r="AA71" s="117"/>
      <c r="AB71" s="117"/>
      <c r="AC71" s="117"/>
      <c r="AD71" s="117"/>
      <c r="AE71" s="117"/>
      <c r="AF71" s="117"/>
      <c r="AG71" s="118"/>
      <c r="AH71" s="38"/>
    </row>
    <row r="72" spans="2:57" ht="16.5" customHeight="1" x14ac:dyDescent="0.25">
      <c r="B72" s="16"/>
      <c r="C72" s="16"/>
      <c r="D72" s="1"/>
      <c r="E72" s="1"/>
      <c r="F72" s="1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</row>
    <row r="73" spans="2:57" ht="15" customHeight="1" x14ac:dyDescent="0.25">
      <c r="B73" s="39"/>
      <c r="C73" s="40"/>
      <c r="D73" s="41" t="s">
        <v>48</v>
      </c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1" t="s">
        <v>661</v>
      </c>
      <c r="Q73" s="40"/>
      <c r="R73" s="40"/>
      <c r="S73" s="40"/>
      <c r="T73" s="40"/>
      <c r="U73" s="42"/>
      <c r="V73" s="197">
        <f>SUM(V74:Z85)</f>
        <v>0</v>
      </c>
      <c r="W73" s="97"/>
      <c r="X73" s="97"/>
      <c r="Y73" s="97"/>
      <c r="Z73" s="98"/>
      <c r="AA73" s="43"/>
      <c r="AB73" s="43"/>
      <c r="AC73" s="43"/>
      <c r="AD73" s="180" t="s">
        <v>46</v>
      </c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7"/>
      <c r="BA73" s="98"/>
    </row>
    <row r="74" spans="2:57" ht="12" customHeight="1" x14ac:dyDescent="0.25">
      <c r="B74" s="136">
        <v>1</v>
      </c>
      <c r="C74" s="126"/>
      <c r="D74" s="193" t="str">
        <f>'Bases - Cadastro'!A38</f>
        <v>PR50050001 -  Material uso e consumo PROADI SUS</v>
      </c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1"/>
      <c r="P74" s="188" t="str">
        <f>'Bases - Cadastro'!D38</f>
        <v>263020 Reembolso de Material de Uso e Consumo PROADI SUS</v>
      </c>
      <c r="Q74" s="100"/>
      <c r="R74" s="100"/>
      <c r="S74" s="100"/>
      <c r="T74" s="100"/>
      <c r="U74" s="101"/>
      <c r="V74" s="201">
        <f t="shared" ref="V74:V85" si="0">SUMIF($AR$29:$AT$66,P74,$AU$29:$BA$66)</f>
        <v>0</v>
      </c>
      <c r="W74" s="125"/>
      <c r="X74" s="125"/>
      <c r="Y74" s="125"/>
      <c r="Z74" s="126"/>
      <c r="AA74" s="44"/>
      <c r="AB74" s="44"/>
      <c r="AC74" s="44"/>
      <c r="AD74" s="205"/>
      <c r="AE74" s="130"/>
      <c r="AF74" s="130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6"/>
    </row>
    <row r="75" spans="2:57" ht="12" customHeight="1" x14ac:dyDescent="0.25">
      <c r="B75" s="128">
        <v>2</v>
      </c>
      <c r="C75" s="101"/>
      <c r="D75" s="193" t="str">
        <f>'Bases - Cadastro'!A39</f>
        <v>PR50060002 -  Refeições e Lanches PROADI SUS</v>
      </c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1"/>
      <c r="P75" s="188" t="str">
        <f>'Bases - Cadastro'!D39</f>
        <v>263018 Reembolso de Refeições e Lanches PROADI SUS</v>
      </c>
      <c r="Q75" s="100"/>
      <c r="R75" s="100"/>
      <c r="S75" s="100"/>
      <c r="T75" s="100"/>
      <c r="U75" s="101"/>
      <c r="V75" s="186">
        <f t="shared" si="0"/>
        <v>0</v>
      </c>
      <c r="W75" s="100"/>
      <c r="X75" s="100"/>
      <c r="Y75" s="100"/>
      <c r="Z75" s="101"/>
      <c r="AA75" s="47"/>
      <c r="AB75" s="47"/>
      <c r="AC75" s="47"/>
      <c r="AD75" s="206"/>
      <c r="AE75" s="103"/>
      <c r="AF75" s="103"/>
      <c r="AG75" s="204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3"/>
      <c r="AS75" s="103"/>
      <c r="AT75" s="103"/>
      <c r="AU75" s="103"/>
      <c r="AV75" s="103"/>
      <c r="AW75" s="48"/>
      <c r="AX75" s="48"/>
      <c r="AY75" s="48"/>
      <c r="AZ75" s="48"/>
      <c r="BA75" s="49"/>
    </row>
    <row r="76" spans="2:57" ht="12" customHeight="1" x14ac:dyDescent="0.25">
      <c r="B76" s="128">
        <v>3</v>
      </c>
      <c r="C76" s="101"/>
      <c r="D76" s="193" t="str">
        <f>'Bases - Cadastro'!A40</f>
        <v>PR50060003 -  Condução e Transporte PROADI SUS</v>
      </c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1"/>
      <c r="P76" s="188" t="str">
        <f>'Bases - Cadastro'!D40</f>
        <v>263962 Reembolso de Condução e Transporte PROADI SUS</v>
      </c>
      <c r="Q76" s="100"/>
      <c r="R76" s="100"/>
      <c r="S76" s="100"/>
      <c r="T76" s="100"/>
      <c r="U76" s="101"/>
      <c r="V76" s="186">
        <f t="shared" si="0"/>
        <v>0</v>
      </c>
      <c r="W76" s="100"/>
      <c r="X76" s="100"/>
      <c r="Y76" s="100"/>
      <c r="Z76" s="101"/>
      <c r="AA76" s="47"/>
      <c r="AB76" s="47"/>
      <c r="AC76" s="47"/>
      <c r="AD76" s="206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48"/>
      <c r="AX76" s="48"/>
      <c r="AY76" s="48"/>
      <c r="AZ76" s="48"/>
      <c r="BA76" s="49"/>
    </row>
    <row r="77" spans="2:57" ht="12" customHeight="1" x14ac:dyDescent="0.25">
      <c r="B77" s="128">
        <v>4</v>
      </c>
      <c r="C77" s="101"/>
      <c r="D77" s="193" t="str">
        <f>'Bases - Cadastro'!A41</f>
        <v>PR50060004 -  Passagens Aereas PROADI SUS</v>
      </c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1"/>
      <c r="P77" s="188" t="str">
        <f>'Bases - Cadastro'!D41</f>
        <v>263021 Reembolso de Passagem Aérea PROADI SUS</v>
      </c>
      <c r="Q77" s="100"/>
      <c r="R77" s="100"/>
      <c r="S77" s="100"/>
      <c r="T77" s="100"/>
      <c r="U77" s="101"/>
      <c r="V77" s="186">
        <f t="shared" si="0"/>
        <v>0</v>
      </c>
      <c r="W77" s="100"/>
      <c r="X77" s="100"/>
      <c r="Y77" s="100"/>
      <c r="Z77" s="101"/>
      <c r="AA77" s="47"/>
      <c r="AB77" s="47"/>
      <c r="AC77" s="47"/>
      <c r="AD77" s="50"/>
      <c r="AE77" s="48"/>
      <c r="AF77" s="48"/>
      <c r="AG77" s="207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  <c r="AT77" s="103"/>
      <c r="AU77" s="103"/>
      <c r="AV77" s="103"/>
      <c r="AW77" s="48"/>
      <c r="AX77" s="48"/>
      <c r="AY77" s="48"/>
      <c r="AZ77" s="48"/>
      <c r="BA77" s="49"/>
    </row>
    <row r="78" spans="2:57" ht="12" customHeight="1" x14ac:dyDescent="0.25">
      <c r="B78" s="128">
        <v>5</v>
      </c>
      <c r="C78" s="101"/>
      <c r="D78" s="193" t="str">
        <f>'Bases - Cadastro'!A42</f>
        <v>PR50060005 -  Hospedagem PROADI SUS</v>
      </c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1"/>
      <c r="P78" s="188" t="str">
        <f>'Bases - Cadastro'!D42</f>
        <v>263022 Reembolso de Hospedagem PROADI SUS</v>
      </c>
      <c r="Q78" s="100"/>
      <c r="R78" s="100"/>
      <c r="S78" s="100"/>
      <c r="T78" s="100"/>
      <c r="U78" s="101"/>
      <c r="V78" s="186">
        <f t="shared" si="0"/>
        <v>0</v>
      </c>
      <c r="W78" s="100"/>
      <c r="X78" s="100"/>
      <c r="Y78" s="100"/>
      <c r="Z78" s="101"/>
      <c r="AA78" s="47"/>
      <c r="AB78" s="47"/>
      <c r="AC78" s="47"/>
      <c r="AD78" s="50"/>
      <c r="AE78" s="48"/>
      <c r="AF78" s="48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48"/>
      <c r="AX78" s="48"/>
      <c r="AY78" s="48"/>
      <c r="AZ78" s="48"/>
      <c r="BA78" s="49"/>
    </row>
    <row r="79" spans="2:57" ht="12" customHeight="1" x14ac:dyDescent="0.25">
      <c r="B79" s="128">
        <v>6</v>
      </c>
      <c r="C79" s="101"/>
      <c r="D79" s="193" t="str">
        <f>'Bases - Cadastro'!A43</f>
        <v>PR50060006 -  Taxas de Viagens, Eventos e Congressos PROADI SUS</v>
      </c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1"/>
      <c r="P79" s="188" t="str">
        <f>'Bases - Cadastro'!D43</f>
        <v>263023 Reembolso de Inscrições de Eventos PROADI SUS</v>
      </c>
      <c r="Q79" s="100"/>
      <c r="R79" s="100"/>
      <c r="S79" s="100"/>
      <c r="T79" s="100"/>
      <c r="U79" s="101"/>
      <c r="V79" s="186">
        <f t="shared" si="0"/>
        <v>0</v>
      </c>
      <c r="W79" s="100"/>
      <c r="X79" s="100"/>
      <c r="Y79" s="100"/>
      <c r="Z79" s="101"/>
      <c r="AA79" s="47"/>
      <c r="AB79" s="47"/>
      <c r="AC79" s="47"/>
      <c r="AD79" s="50"/>
      <c r="AE79" s="48"/>
      <c r="AF79" s="48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48"/>
      <c r="AX79" s="48"/>
      <c r="AY79" s="48"/>
      <c r="AZ79" s="48"/>
      <c r="BA79" s="49"/>
    </row>
    <row r="80" spans="2:57" ht="12" customHeight="1" x14ac:dyDescent="0.25">
      <c r="B80" s="128">
        <v>7</v>
      </c>
      <c r="C80" s="101"/>
      <c r="D80" s="193" t="str">
        <f>'Bases - Cadastro'!A44</f>
        <v>PR50090003 -  Custas de cartório PROADI SUS</v>
      </c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1"/>
      <c r="P80" s="188" t="str">
        <f>'Bases - Cadastro'!D44</f>
        <v>263017 Reembolso de Cartório PROADI SUS</v>
      </c>
      <c r="Q80" s="100"/>
      <c r="R80" s="100"/>
      <c r="S80" s="100"/>
      <c r="T80" s="100"/>
      <c r="U80" s="101"/>
      <c r="V80" s="186">
        <f t="shared" si="0"/>
        <v>0</v>
      </c>
      <c r="W80" s="100"/>
      <c r="X80" s="100"/>
      <c r="Y80" s="100"/>
      <c r="Z80" s="101"/>
      <c r="AA80" s="47"/>
      <c r="AB80" s="47"/>
      <c r="AC80" s="47"/>
      <c r="AD80" s="50"/>
      <c r="AE80" s="48"/>
      <c r="AF80" s="48"/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3"/>
      <c r="AW80" s="48"/>
      <c r="AX80" s="48"/>
      <c r="AY80" s="48"/>
      <c r="AZ80" s="48"/>
      <c r="BA80" s="49"/>
    </row>
    <row r="81" spans="2:53" ht="12" customHeight="1" x14ac:dyDescent="0.25">
      <c r="B81" s="128">
        <v>8</v>
      </c>
      <c r="C81" s="101"/>
      <c r="D81" s="193" t="str">
        <f>'Bases - Cadastro'!A45</f>
        <v>PR50090005 -  Correios e Malotes PROADI SUS</v>
      </c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1"/>
      <c r="P81" s="188" t="str">
        <f>'Bases - Cadastro'!D45</f>
        <v>263016 Reembolso de Correios PROADI SUS</v>
      </c>
      <c r="Q81" s="100"/>
      <c r="R81" s="100"/>
      <c r="S81" s="100"/>
      <c r="T81" s="100"/>
      <c r="U81" s="101"/>
      <c r="V81" s="186">
        <f t="shared" si="0"/>
        <v>0</v>
      </c>
      <c r="W81" s="100"/>
      <c r="X81" s="100"/>
      <c r="Y81" s="100"/>
      <c r="Z81" s="101"/>
      <c r="AA81" s="47"/>
      <c r="AB81" s="47"/>
      <c r="AC81" s="47"/>
      <c r="AD81" s="50"/>
      <c r="AE81" s="48"/>
      <c r="AF81" s="48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48"/>
      <c r="AX81" s="48"/>
      <c r="AY81" s="48"/>
      <c r="AZ81" s="48"/>
      <c r="BA81" s="49"/>
    </row>
    <row r="82" spans="2:53" ht="12" customHeight="1" x14ac:dyDescent="0.25">
      <c r="B82" s="128">
        <v>9</v>
      </c>
      <c r="C82" s="101"/>
      <c r="D82" s="193" t="str">
        <f>'Bases - Cadastro'!A46</f>
        <v>PR50090011 -  Revelações, Cópias, Impressões e Gráfica PROADI SUS</v>
      </c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1"/>
      <c r="P82" s="188" t="str">
        <f>'Bases - Cadastro'!D46</f>
        <v>263019 Reembolso de Revelações, Cópias e Gráfica PROADI SUS</v>
      </c>
      <c r="Q82" s="100"/>
      <c r="R82" s="100"/>
      <c r="S82" s="100"/>
      <c r="T82" s="100"/>
      <c r="U82" s="101"/>
      <c r="V82" s="186">
        <f t="shared" si="0"/>
        <v>0</v>
      </c>
      <c r="W82" s="100"/>
      <c r="X82" s="100"/>
      <c r="Y82" s="100"/>
      <c r="Z82" s="101"/>
      <c r="AA82" s="47"/>
      <c r="AB82" s="47"/>
      <c r="AC82" s="47"/>
      <c r="AD82" s="50"/>
      <c r="AE82" s="48"/>
      <c r="AF82" s="48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  <c r="AR82" s="103"/>
      <c r="AS82" s="103"/>
      <c r="AT82" s="103"/>
      <c r="AU82" s="103"/>
      <c r="AV82" s="103"/>
      <c r="AW82" s="48"/>
      <c r="AX82" s="48"/>
      <c r="AY82" s="48"/>
      <c r="AZ82" s="48"/>
      <c r="BA82" s="49"/>
    </row>
    <row r="83" spans="2:53" ht="12" customHeight="1" x14ac:dyDescent="0.25">
      <c r="B83" s="128">
        <v>10</v>
      </c>
      <c r="C83" s="101"/>
      <c r="D83" s="193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1"/>
      <c r="P83" s="188"/>
      <c r="Q83" s="100"/>
      <c r="R83" s="100"/>
      <c r="S83" s="100"/>
      <c r="T83" s="100"/>
      <c r="U83" s="101"/>
      <c r="V83" s="186">
        <f t="shared" si="0"/>
        <v>0</v>
      </c>
      <c r="W83" s="100"/>
      <c r="X83" s="100"/>
      <c r="Y83" s="100"/>
      <c r="Z83" s="101"/>
      <c r="AA83" s="47"/>
      <c r="AB83" s="47"/>
      <c r="AC83" s="47"/>
      <c r="AD83" s="50"/>
      <c r="AE83" s="48"/>
      <c r="AF83" s="48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  <c r="AR83" s="103"/>
      <c r="AS83" s="103"/>
      <c r="AT83" s="103"/>
      <c r="AU83" s="103"/>
      <c r="AV83" s="103"/>
      <c r="AW83" s="48"/>
      <c r="AX83" s="48"/>
      <c r="AY83" s="48"/>
      <c r="AZ83" s="48"/>
      <c r="BA83" s="49"/>
    </row>
    <row r="84" spans="2:53" ht="12" customHeight="1" x14ac:dyDescent="0.25">
      <c r="B84" s="128">
        <v>11</v>
      </c>
      <c r="C84" s="101"/>
      <c r="D84" s="193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1"/>
      <c r="P84" s="188"/>
      <c r="Q84" s="100"/>
      <c r="R84" s="100"/>
      <c r="S84" s="100"/>
      <c r="T84" s="100"/>
      <c r="U84" s="101"/>
      <c r="V84" s="186">
        <f t="shared" si="0"/>
        <v>0</v>
      </c>
      <c r="W84" s="100"/>
      <c r="X84" s="100"/>
      <c r="Y84" s="100"/>
      <c r="Z84" s="101"/>
      <c r="AA84" s="47"/>
      <c r="AB84" s="47"/>
      <c r="AC84" s="47"/>
      <c r="AD84" s="50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9"/>
    </row>
    <row r="85" spans="2:53" ht="12" customHeight="1" x14ac:dyDescent="0.25">
      <c r="B85" s="128">
        <v>12</v>
      </c>
      <c r="C85" s="101"/>
      <c r="D85" s="193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1"/>
      <c r="P85" s="188"/>
      <c r="Q85" s="100"/>
      <c r="R85" s="100"/>
      <c r="S85" s="100"/>
      <c r="T85" s="100"/>
      <c r="U85" s="101"/>
      <c r="V85" s="186">
        <f t="shared" si="0"/>
        <v>0</v>
      </c>
      <c r="W85" s="100"/>
      <c r="X85" s="100"/>
      <c r="Y85" s="100"/>
      <c r="Z85" s="101"/>
      <c r="AA85" s="47"/>
      <c r="AB85" s="47"/>
      <c r="AC85" s="47"/>
      <c r="AD85" s="51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3"/>
    </row>
  </sheetData>
  <mergeCells count="458">
    <mergeCell ref="V85:Z85"/>
    <mergeCell ref="B66:F66"/>
    <mergeCell ref="V82:Z82"/>
    <mergeCell ref="D78:O78"/>
    <mergeCell ref="U62:Z62"/>
    <mergeCell ref="Q22:Y22"/>
    <mergeCell ref="B15:AX15"/>
    <mergeCell ref="G57:K57"/>
    <mergeCell ref="B61:F61"/>
    <mergeCell ref="L45:P45"/>
    <mergeCell ref="G49:K49"/>
    <mergeCell ref="U64:Z64"/>
    <mergeCell ref="AU38:BA38"/>
    <mergeCell ref="Q33:T33"/>
    <mergeCell ref="U51:Z51"/>
    <mergeCell ref="Q27:T28"/>
    <mergeCell ref="AR32:AT32"/>
    <mergeCell ref="L38:P38"/>
    <mergeCell ref="AA63:AN63"/>
    <mergeCell ref="AU40:BA40"/>
    <mergeCell ref="AN21:BA21"/>
    <mergeCell ref="AA22:AL22"/>
    <mergeCell ref="L40:P40"/>
    <mergeCell ref="B64:F64"/>
    <mergeCell ref="AU63:BA63"/>
    <mergeCell ref="P79:U79"/>
    <mergeCell ref="G29:K29"/>
    <mergeCell ref="B21:AL21"/>
    <mergeCell ref="AA50:AN50"/>
    <mergeCell ref="G44:K44"/>
    <mergeCell ref="AR52:AT52"/>
    <mergeCell ref="G31:K31"/>
    <mergeCell ref="H11:T11"/>
    <mergeCell ref="B75:C75"/>
    <mergeCell ref="W70:AG70"/>
    <mergeCell ref="AN23:BA23"/>
    <mergeCell ref="AR27:AT27"/>
    <mergeCell ref="B51:F51"/>
    <mergeCell ref="AO28:AQ28"/>
    <mergeCell ref="AU37:BA37"/>
    <mergeCell ref="U41:Z41"/>
    <mergeCell ref="B59:F59"/>
    <mergeCell ref="B46:F46"/>
    <mergeCell ref="AU47:BA47"/>
    <mergeCell ref="L37:P37"/>
    <mergeCell ref="U56:Z56"/>
    <mergeCell ref="AR49:AT49"/>
    <mergeCell ref="U43:Z43"/>
    <mergeCell ref="AO58:AQ58"/>
    <mergeCell ref="B48:F48"/>
    <mergeCell ref="AN9:AZ9"/>
    <mergeCell ref="Q62:T62"/>
    <mergeCell ref="B44:F44"/>
    <mergeCell ref="U55:Z55"/>
    <mergeCell ref="AU29:BA29"/>
    <mergeCell ref="U38:Z38"/>
    <mergeCell ref="B4:AX4"/>
    <mergeCell ref="G33:K33"/>
    <mergeCell ref="Q64:T64"/>
    <mergeCell ref="B37:F37"/>
    <mergeCell ref="AU44:BA44"/>
    <mergeCell ref="AA54:AN54"/>
    <mergeCell ref="AU31:BA31"/>
    <mergeCell ref="Q51:T51"/>
    <mergeCell ref="U40:Z40"/>
    <mergeCell ref="AA41:AN41"/>
    <mergeCell ref="G35:K35"/>
    <mergeCell ref="AA56:AN56"/>
    <mergeCell ref="AO57:AQ57"/>
    <mergeCell ref="AR34:AT34"/>
    <mergeCell ref="AA34:AN34"/>
    <mergeCell ref="AU42:BA42"/>
    <mergeCell ref="AR36:AT36"/>
    <mergeCell ref="AA36:AN36"/>
    <mergeCell ref="D81:O81"/>
    <mergeCell ref="B32:F32"/>
    <mergeCell ref="AB17:AE17"/>
    <mergeCell ref="D76:O76"/>
    <mergeCell ref="AR66:AT66"/>
    <mergeCell ref="AR63:AT63"/>
    <mergeCell ref="V76:Z76"/>
    <mergeCell ref="AO29:AQ29"/>
    <mergeCell ref="L43:P43"/>
    <mergeCell ref="AA30:AN30"/>
    <mergeCell ref="G38:K38"/>
    <mergeCell ref="B42:F42"/>
    <mergeCell ref="C69:R69"/>
    <mergeCell ref="V77:Z77"/>
    <mergeCell ref="AO31:AQ31"/>
    <mergeCell ref="AD75:AF75"/>
    <mergeCell ref="C71:G71"/>
    <mergeCell ref="U66:Z66"/>
    <mergeCell ref="G30:K30"/>
    <mergeCell ref="Q39:T39"/>
    <mergeCell ref="AA65:AN65"/>
    <mergeCell ref="AA31:AN31"/>
    <mergeCell ref="U59:Z59"/>
    <mergeCell ref="AO32:AQ32"/>
    <mergeCell ref="B1:BA2"/>
    <mergeCell ref="AA35:AN35"/>
    <mergeCell ref="B83:C83"/>
    <mergeCell ref="O9:T9"/>
    <mergeCell ref="B85:C85"/>
    <mergeCell ref="D84:O84"/>
    <mergeCell ref="AD73:BA73"/>
    <mergeCell ref="B36:F36"/>
    <mergeCell ref="Q59:T59"/>
    <mergeCell ref="AO65:AQ65"/>
    <mergeCell ref="Q46:T46"/>
    <mergeCell ref="Q61:T61"/>
    <mergeCell ref="Q48:T48"/>
    <mergeCell ref="AA38:AN38"/>
    <mergeCell ref="U37:Z37"/>
    <mergeCell ref="L66:P66"/>
    <mergeCell ref="L53:P53"/>
    <mergeCell ref="AU46:BA46"/>
    <mergeCell ref="Q41:T41"/>
    <mergeCell ref="B19:G19"/>
    <mergeCell ref="AR53:AT53"/>
    <mergeCell ref="AA40:AN40"/>
    <mergeCell ref="AO54:AQ54"/>
    <mergeCell ref="AU61:BA61"/>
    <mergeCell ref="B5:F5"/>
    <mergeCell ref="AR39:AT39"/>
    <mergeCell ref="AU55:BA55"/>
    <mergeCell ref="D80:O80"/>
    <mergeCell ref="AG77:AV83"/>
    <mergeCell ref="AO33:AQ33"/>
    <mergeCell ref="AA43:AN43"/>
    <mergeCell ref="AO35:AQ35"/>
    <mergeCell ref="AR65:AT65"/>
    <mergeCell ref="B23:O23"/>
    <mergeCell ref="B82:C82"/>
    <mergeCell ref="L55:P55"/>
    <mergeCell ref="AU48:BA48"/>
    <mergeCell ref="AR50:AT50"/>
    <mergeCell ref="G58:K58"/>
    <mergeCell ref="AR60:AT60"/>
    <mergeCell ref="Q56:T56"/>
    <mergeCell ref="AO41:AQ41"/>
    <mergeCell ref="Q43:T43"/>
    <mergeCell ref="AA33:AN33"/>
    <mergeCell ref="AR55:AT55"/>
    <mergeCell ref="AO56:AQ56"/>
    <mergeCell ref="AO34:AQ34"/>
    <mergeCell ref="AA57:AN57"/>
    <mergeCell ref="P83:U83"/>
    <mergeCell ref="AR31:AT31"/>
    <mergeCell ref="AA27:AN28"/>
    <mergeCell ref="Q63:T63"/>
    <mergeCell ref="P85:U85"/>
    <mergeCell ref="Q50:T50"/>
    <mergeCell ref="AR62:AT62"/>
    <mergeCell ref="P84:U84"/>
    <mergeCell ref="H71:R71"/>
    <mergeCell ref="P80:U80"/>
    <mergeCell ref="AR57:AT57"/>
    <mergeCell ref="L32:P32"/>
    <mergeCell ref="G36:K36"/>
    <mergeCell ref="L47:P47"/>
    <mergeCell ref="Q37:T37"/>
    <mergeCell ref="D83:O83"/>
    <mergeCell ref="AO64:AQ64"/>
    <mergeCell ref="AO51:AQ51"/>
    <mergeCell ref="L63:P63"/>
    <mergeCell ref="D85:O85"/>
    <mergeCell ref="Q55:T55"/>
    <mergeCell ref="L50:P50"/>
    <mergeCell ref="Q38:T38"/>
    <mergeCell ref="G64:K64"/>
    <mergeCell ref="P82:U82"/>
    <mergeCell ref="AR30:AT30"/>
    <mergeCell ref="P75:U75"/>
    <mergeCell ref="U58:Z58"/>
    <mergeCell ref="V84:Z84"/>
    <mergeCell ref="L30:P30"/>
    <mergeCell ref="H70:R70"/>
    <mergeCell ref="AR54:AT54"/>
    <mergeCell ref="L29:P29"/>
    <mergeCell ref="AR41:AT41"/>
    <mergeCell ref="L44:P44"/>
    <mergeCell ref="AR56:AT56"/>
    <mergeCell ref="L31:P31"/>
    <mergeCell ref="AR43:AT43"/>
    <mergeCell ref="Q44:T44"/>
    <mergeCell ref="AA47:AN47"/>
    <mergeCell ref="G59:K59"/>
    <mergeCell ref="U53:Z53"/>
    <mergeCell ref="L57:P57"/>
    <mergeCell ref="G61:K61"/>
    <mergeCell ref="D75:O75"/>
    <mergeCell ref="V79:Z79"/>
    <mergeCell ref="B58:F58"/>
    <mergeCell ref="B52:F52"/>
    <mergeCell ref="B3:AX3"/>
    <mergeCell ref="L41:P41"/>
    <mergeCell ref="G45:K45"/>
    <mergeCell ref="AU34:BA34"/>
    <mergeCell ref="U60:Z60"/>
    <mergeCell ref="AA66:AN66"/>
    <mergeCell ref="B65:F65"/>
    <mergeCell ref="W71:AG71"/>
    <mergeCell ref="L56:P56"/>
    <mergeCell ref="AU49:BA49"/>
    <mergeCell ref="G47:K47"/>
    <mergeCell ref="AU36:BA36"/>
    <mergeCell ref="U45:Z45"/>
    <mergeCell ref="B63:F63"/>
    <mergeCell ref="G46:K46"/>
    <mergeCell ref="B50:F50"/>
    <mergeCell ref="G40:K40"/>
    <mergeCell ref="AA61:AN61"/>
    <mergeCell ref="AA32:AN32"/>
    <mergeCell ref="AO62:AQ62"/>
    <mergeCell ref="AR28:AT28"/>
    <mergeCell ref="B55:F55"/>
    <mergeCell ref="B7:F7"/>
    <mergeCell ref="AU57:BA57"/>
    <mergeCell ref="AJ5:AM5"/>
    <mergeCell ref="B62:F62"/>
    <mergeCell ref="U32:Z32"/>
    <mergeCell ref="B31:F31"/>
    <mergeCell ref="U47:Z47"/>
    <mergeCell ref="AR40:AT40"/>
    <mergeCell ref="B39:F39"/>
    <mergeCell ref="V81:Z81"/>
    <mergeCell ref="AR33:AT33"/>
    <mergeCell ref="AR35:AT35"/>
    <mergeCell ref="L54:P54"/>
    <mergeCell ref="V73:Z73"/>
    <mergeCell ref="P77:U77"/>
    <mergeCell ref="B74:C74"/>
    <mergeCell ref="G48:K48"/>
    <mergeCell ref="B60:F60"/>
    <mergeCell ref="L42:P42"/>
    <mergeCell ref="G62:K62"/>
    <mergeCell ref="AR29:AT29"/>
    <mergeCell ref="B53:F53"/>
    <mergeCell ref="V74:Z74"/>
    <mergeCell ref="AR44:AT44"/>
    <mergeCell ref="B24:BA24"/>
    <mergeCell ref="AU58:BA58"/>
    <mergeCell ref="AG9:AM9"/>
    <mergeCell ref="P74:U74"/>
    <mergeCell ref="AO61:AQ61"/>
    <mergeCell ref="B25:BA25"/>
    <mergeCell ref="AA59:AN59"/>
    <mergeCell ref="C70:G70"/>
    <mergeCell ref="AU30:BA30"/>
    <mergeCell ref="AA46:AN46"/>
    <mergeCell ref="AU59:BA59"/>
    <mergeCell ref="AA64:AN64"/>
    <mergeCell ref="G32:K32"/>
    <mergeCell ref="AA51:AN51"/>
    <mergeCell ref="AU35:BA35"/>
    <mergeCell ref="AU50:BA50"/>
    <mergeCell ref="AU52:BA52"/>
    <mergeCell ref="AU39:BA39"/>
    <mergeCell ref="AU32:BA32"/>
    <mergeCell ref="B26:BA26"/>
    <mergeCell ref="AU60:BA60"/>
    <mergeCell ref="AA23:AL23"/>
    <mergeCell ref="G51:K51"/>
    <mergeCell ref="L52:P52"/>
    <mergeCell ref="AU45:BA45"/>
    <mergeCell ref="Q40:T40"/>
    <mergeCell ref="AU33:BA33"/>
    <mergeCell ref="Q53:T53"/>
    <mergeCell ref="U42:Z42"/>
    <mergeCell ref="AD76:AF76"/>
    <mergeCell ref="AU27:BA28"/>
    <mergeCell ref="G37:K37"/>
    <mergeCell ref="U52:Z52"/>
    <mergeCell ref="L27:P28"/>
    <mergeCell ref="B57:F57"/>
    <mergeCell ref="AA45:AN45"/>
    <mergeCell ref="AO59:AQ59"/>
    <mergeCell ref="AO46:AQ46"/>
    <mergeCell ref="P76:U76"/>
    <mergeCell ref="B29:F29"/>
    <mergeCell ref="G27:K28"/>
    <mergeCell ref="AO49:AQ49"/>
    <mergeCell ref="U63:Z63"/>
    <mergeCell ref="AO36:AQ36"/>
    <mergeCell ref="U50:Z50"/>
    <mergeCell ref="U44:Z44"/>
    <mergeCell ref="AO60:AQ60"/>
    <mergeCell ref="B49:F49"/>
    <mergeCell ref="U46:Z46"/>
    <mergeCell ref="G54:K54"/>
    <mergeCell ref="V75:Z75"/>
    <mergeCell ref="AO48:AQ48"/>
    <mergeCell ref="AO66:AQ66"/>
    <mergeCell ref="V80:Z80"/>
    <mergeCell ref="B54:F54"/>
    <mergeCell ref="AO43:AQ43"/>
    <mergeCell ref="G42:K42"/>
    <mergeCell ref="U57:Z57"/>
    <mergeCell ref="AD74:AF74"/>
    <mergeCell ref="B56:F56"/>
    <mergeCell ref="B43:F43"/>
    <mergeCell ref="B67:AT67"/>
    <mergeCell ref="Q66:T66"/>
    <mergeCell ref="U70:V70"/>
    <mergeCell ref="B45:F45"/>
    <mergeCell ref="AO47:AQ47"/>
    <mergeCell ref="AA62:AN62"/>
    <mergeCell ref="U61:Z61"/>
    <mergeCell ref="U48:Z48"/>
    <mergeCell ref="G56:K56"/>
    <mergeCell ref="Q65:T65"/>
    <mergeCell ref="G43:K43"/>
    <mergeCell ref="B47:F47"/>
    <mergeCell ref="P78:U78"/>
    <mergeCell ref="AA5:AH5"/>
    <mergeCell ref="AA60:AN60"/>
    <mergeCell ref="AR64:AT64"/>
    <mergeCell ref="L39:P39"/>
    <mergeCell ref="AR51:AT51"/>
    <mergeCell ref="AN22:BA22"/>
    <mergeCell ref="AO55:AQ55"/>
    <mergeCell ref="B38:F38"/>
    <mergeCell ref="G34:K34"/>
    <mergeCell ref="AO40:AQ40"/>
    <mergeCell ref="AA53:AN53"/>
    <mergeCell ref="AO27:AQ27"/>
    <mergeCell ref="U35:Z35"/>
    <mergeCell ref="Q58:T58"/>
    <mergeCell ref="B40:F40"/>
    <mergeCell ref="U34:Z34"/>
    <mergeCell ref="B33:F33"/>
    <mergeCell ref="Q60:T60"/>
    <mergeCell ref="U49:Z49"/>
    <mergeCell ref="U36:Z36"/>
    <mergeCell ref="U30:Z30"/>
    <mergeCell ref="AA42:AN42"/>
    <mergeCell ref="B41:F41"/>
    <mergeCell ref="B35:F35"/>
    <mergeCell ref="AF17:AR17"/>
    <mergeCell ref="Q45:T45"/>
    <mergeCell ref="B22:O22"/>
    <mergeCell ref="Q32:T32"/>
    <mergeCell ref="AA44:AN44"/>
    <mergeCell ref="AA58:AN58"/>
    <mergeCell ref="Q47:T47"/>
    <mergeCell ref="AA37:AN37"/>
    <mergeCell ref="AO63:AQ63"/>
    <mergeCell ref="AO53:AQ53"/>
    <mergeCell ref="AP19:AR19"/>
    <mergeCell ref="I17:R17"/>
    <mergeCell ref="AO45:AQ45"/>
    <mergeCell ref="I19:R19"/>
    <mergeCell ref="AO38:AQ38"/>
    <mergeCell ref="AA48:AN48"/>
    <mergeCell ref="U54:Z54"/>
    <mergeCell ref="U29:Z29"/>
    <mergeCell ref="L58:P58"/>
    <mergeCell ref="B34:F34"/>
    <mergeCell ref="U31:Z31"/>
    <mergeCell ref="L60:P60"/>
    <mergeCell ref="B30:F30"/>
    <mergeCell ref="G41:K41"/>
    <mergeCell ref="G5:Y5"/>
    <mergeCell ref="B81:C81"/>
    <mergeCell ref="AA52:AN52"/>
    <mergeCell ref="U19:X19"/>
    <mergeCell ref="AU62:BA62"/>
    <mergeCell ref="Q57:T57"/>
    <mergeCell ref="U33:Z33"/>
    <mergeCell ref="L62:P62"/>
    <mergeCell ref="G66:K66"/>
    <mergeCell ref="U27:Z28"/>
    <mergeCell ref="G53:K53"/>
    <mergeCell ref="AU64:BA64"/>
    <mergeCell ref="AA49:AN49"/>
    <mergeCell ref="AU51:BA51"/>
    <mergeCell ref="Q42:T42"/>
    <mergeCell ref="AO50:AQ50"/>
    <mergeCell ref="L64:P64"/>
    <mergeCell ref="Q52:T52"/>
    <mergeCell ref="AR38:AT38"/>
    <mergeCell ref="L51:P51"/>
    <mergeCell ref="AO52:AQ52"/>
    <mergeCell ref="B27:F28"/>
    <mergeCell ref="AA19:AF19"/>
    <mergeCell ref="B76:C76"/>
    <mergeCell ref="AU67:BA67"/>
    <mergeCell ref="Q54:T54"/>
    <mergeCell ref="U71:V71"/>
    <mergeCell ref="B84:C84"/>
    <mergeCell ref="Q29:T29"/>
    <mergeCell ref="G55:K55"/>
    <mergeCell ref="AR59:AT59"/>
    <mergeCell ref="L34:P34"/>
    <mergeCell ref="AR46:AT46"/>
    <mergeCell ref="Q31:T31"/>
    <mergeCell ref="B80:C80"/>
    <mergeCell ref="L49:P49"/>
    <mergeCell ref="AR61:AT61"/>
    <mergeCell ref="L36:P36"/>
    <mergeCell ref="B79:C79"/>
    <mergeCell ref="AR48:AT48"/>
    <mergeCell ref="AO37:AQ37"/>
    <mergeCell ref="D82:O82"/>
    <mergeCell ref="AA55:AN55"/>
    <mergeCell ref="D77:O77"/>
    <mergeCell ref="AA29:AN29"/>
    <mergeCell ref="AU65:BA65"/>
    <mergeCell ref="L65:P65"/>
    <mergeCell ref="B77:C77"/>
    <mergeCell ref="V83:Z83"/>
    <mergeCell ref="B78:C78"/>
    <mergeCell ref="AR47:AT47"/>
    <mergeCell ref="AN5:AZ5"/>
    <mergeCell ref="AG75:AV76"/>
    <mergeCell ref="G65:K65"/>
    <mergeCell ref="AR42:AT42"/>
    <mergeCell ref="D79:O79"/>
    <mergeCell ref="Q35:T35"/>
    <mergeCell ref="L59:P59"/>
    <mergeCell ref="G63:K63"/>
    <mergeCell ref="L46:P46"/>
    <mergeCell ref="G50:K50"/>
    <mergeCell ref="U65:Z65"/>
    <mergeCell ref="Q34:T34"/>
    <mergeCell ref="AR58:AT58"/>
    <mergeCell ref="G60:K60"/>
    <mergeCell ref="AR37:AT37"/>
    <mergeCell ref="L61:P61"/>
    <mergeCell ref="AU54:BA54"/>
    <mergeCell ref="Q49:T49"/>
    <mergeCell ref="L48:P48"/>
    <mergeCell ref="G52:K52"/>
    <mergeCell ref="AU41:BA41"/>
    <mergeCell ref="P81:U81"/>
    <mergeCell ref="AU66:BA66"/>
    <mergeCell ref="C18:AT18"/>
    <mergeCell ref="AU53:BA53"/>
    <mergeCell ref="G39:K39"/>
    <mergeCell ref="L33:P33"/>
    <mergeCell ref="AR45:AT45"/>
    <mergeCell ref="U39:Z39"/>
    <mergeCell ref="G7:AL7"/>
    <mergeCell ref="L35:P35"/>
    <mergeCell ref="Q23:Y23"/>
    <mergeCell ref="Q36:T36"/>
    <mergeCell ref="Q30:T30"/>
    <mergeCell ref="AO39:AQ39"/>
    <mergeCell ref="AU56:BA56"/>
    <mergeCell ref="AU43:BA43"/>
    <mergeCell ref="AO30:AQ30"/>
    <mergeCell ref="AO42:AQ42"/>
    <mergeCell ref="V78:Z78"/>
    <mergeCell ref="G9:M9"/>
    <mergeCell ref="AA39:AN39"/>
    <mergeCell ref="U69:AG69"/>
    <mergeCell ref="AO44:AQ44"/>
    <mergeCell ref="D74:O74"/>
  </mergeCells>
  <printOptions horizontalCentered="1"/>
  <pageMargins left="0.25" right="0.25" top="0.75" bottom="0.75" header="0.3" footer="0.3"/>
  <pageSetup paperSize="9" scale="52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10">
    <pageSetUpPr fitToPage="1"/>
  </sheetPr>
  <dimension ref="B1:BE85"/>
  <sheetViews>
    <sheetView showGridLines="0" topLeftCell="A52" zoomScaleNormal="100" zoomScaleSheetLayoutView="100" workbookViewId="0">
      <selection activeCell="U29" sqref="U29:Z29"/>
    </sheetView>
  </sheetViews>
  <sheetFormatPr defaultColWidth="8.88671875" defaultRowHeight="13.95" customHeight="1" x14ac:dyDescent="0.25"/>
  <cols>
    <col min="1" max="1" width="1.44140625" style="15" customWidth="1"/>
    <col min="2" max="2" width="1.109375" style="15" customWidth="1"/>
    <col min="3" max="3" width="2" style="15" customWidth="1"/>
    <col min="4" max="5" width="2.6640625" style="15" customWidth="1"/>
    <col min="6" max="6" width="3.33203125" style="15" customWidth="1"/>
    <col min="7" max="7" width="4.5546875" style="15" customWidth="1"/>
    <col min="8" max="9" width="2.6640625" style="15" customWidth="1"/>
    <col min="10" max="10" width="2.109375" style="15" customWidth="1"/>
    <col min="11" max="11" width="3.109375" style="15" customWidth="1"/>
    <col min="12" max="16" width="5.33203125" style="15" customWidth="1"/>
    <col min="17" max="17" width="2.44140625" style="15" customWidth="1"/>
    <col min="18" max="18" width="2.6640625" style="15" customWidth="1"/>
    <col min="19" max="19" width="3.109375" style="15" customWidth="1"/>
    <col min="20" max="20" width="2.5546875" style="15" customWidth="1"/>
    <col min="21" max="21" width="8" style="15" customWidth="1"/>
    <col min="22" max="25" width="2.6640625" style="15" customWidth="1"/>
    <col min="26" max="26" width="3.6640625" style="15" customWidth="1"/>
    <col min="27" max="30" width="2.6640625" style="15" customWidth="1"/>
    <col min="31" max="31" width="2.109375" style="15" customWidth="1"/>
    <col min="32" max="32" width="3.109375" style="15" customWidth="1"/>
    <col min="33" max="34" width="2.6640625" style="15" customWidth="1"/>
    <col min="35" max="35" width="10" style="15" customWidth="1"/>
    <col min="36" max="36" width="1.6640625" style="15" customWidth="1"/>
    <col min="37" max="37" width="2.6640625" style="15" customWidth="1"/>
    <col min="38" max="38" width="2" style="15" customWidth="1"/>
    <col min="39" max="39" width="2.33203125" style="15" customWidth="1"/>
    <col min="40" max="43" width="9.109375" style="15" customWidth="1"/>
    <col min="44" max="44" width="4.44140625" style="15" customWidth="1"/>
    <col min="45" max="45" width="4.5546875" style="15" customWidth="1"/>
    <col min="46" max="46" width="3.88671875" style="15" customWidth="1"/>
    <col min="47" max="47" width="1.88671875" style="15" customWidth="1"/>
    <col min="48" max="48" width="2.5546875" style="15" customWidth="1"/>
    <col min="49" max="49" width="0.88671875" style="15" customWidth="1"/>
    <col min="50" max="50" width="1.33203125" style="15" customWidth="1"/>
    <col min="51" max="54" width="2.6640625" style="15" customWidth="1"/>
    <col min="55" max="55" width="10" style="68" bestFit="1" customWidth="1"/>
    <col min="56" max="56" width="2.6640625" style="15" customWidth="1"/>
    <col min="57" max="57" width="15.88671875" style="15" customWidth="1"/>
    <col min="58" max="68" width="2.6640625" style="15" customWidth="1"/>
    <col min="69" max="80" width="8.88671875" style="15" customWidth="1"/>
    <col min="81" max="16384" width="8.88671875" style="15"/>
  </cols>
  <sheetData>
    <row r="1" spans="2:53" ht="9.75" customHeight="1" x14ac:dyDescent="0.25">
      <c r="B1" s="176" t="s">
        <v>0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61"/>
    </row>
    <row r="2" spans="2:53" ht="54.75" customHeight="1" x14ac:dyDescent="0.25">
      <c r="B2" s="167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68"/>
    </row>
    <row r="3" spans="2:53" ht="7.5" customHeight="1" x14ac:dyDescent="0.25">
      <c r="B3" s="177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16"/>
      <c r="AZ3" s="16"/>
      <c r="BA3" s="16"/>
    </row>
    <row r="4" spans="2:53" ht="8.25" customHeight="1" x14ac:dyDescent="0.25">
      <c r="B4" s="105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7"/>
      <c r="AZ4" s="17"/>
      <c r="BA4" s="18"/>
    </row>
    <row r="5" spans="2:53" ht="23.25" customHeight="1" x14ac:dyDescent="0.25">
      <c r="B5" s="108" t="s">
        <v>1</v>
      </c>
      <c r="C5" s="103"/>
      <c r="D5" s="103"/>
      <c r="E5" s="103"/>
      <c r="F5" s="103"/>
      <c r="G5" s="16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8" t="s">
        <v>2</v>
      </c>
      <c r="AA5" s="163"/>
      <c r="AB5" s="103"/>
      <c r="AC5" s="103"/>
      <c r="AD5" s="103"/>
      <c r="AE5" s="103"/>
      <c r="AF5" s="103"/>
      <c r="AG5" s="103"/>
      <c r="AH5" s="103"/>
      <c r="AI5" s="19"/>
      <c r="AJ5" s="179" t="s">
        <v>3</v>
      </c>
      <c r="AK5" s="103"/>
      <c r="AL5" s="103"/>
      <c r="AM5" s="103"/>
      <c r="AN5" s="155" t="s">
        <v>668</v>
      </c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20"/>
    </row>
    <row r="6" spans="2:53" ht="8.25" customHeight="1" x14ac:dyDescent="0.25">
      <c r="B6" s="59"/>
      <c r="C6" s="54"/>
      <c r="D6" s="54"/>
      <c r="E6" s="54"/>
      <c r="F6" s="54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8"/>
      <c r="AA6" s="58"/>
      <c r="AB6" s="58"/>
      <c r="AC6" s="58"/>
      <c r="AD6" s="58"/>
      <c r="AE6" s="58"/>
      <c r="AF6" s="58"/>
      <c r="AG6" s="58"/>
      <c r="AH6" s="58"/>
      <c r="AI6" s="19"/>
      <c r="AJ6" s="62"/>
      <c r="AK6" s="62"/>
      <c r="AL6" s="62"/>
      <c r="AM6" s="62"/>
      <c r="BA6" s="20"/>
    </row>
    <row r="7" spans="2:53" ht="23.25" customHeight="1" x14ac:dyDescent="0.25">
      <c r="B7" s="108" t="s">
        <v>5</v>
      </c>
      <c r="C7" s="103"/>
      <c r="D7" s="103"/>
      <c r="E7" s="103"/>
      <c r="F7" s="103"/>
      <c r="G7" s="154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62"/>
      <c r="BA7" s="20"/>
    </row>
    <row r="8" spans="2:53" ht="8.25" customHeight="1" x14ac:dyDescent="0.25">
      <c r="B8" s="59"/>
      <c r="C8" s="54"/>
      <c r="D8" s="54"/>
      <c r="E8" s="54"/>
      <c r="F8" s="54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8"/>
      <c r="AA8" s="58"/>
      <c r="AB8" s="58"/>
      <c r="AC8" s="58"/>
      <c r="AD8" s="58"/>
      <c r="AE8" s="58"/>
      <c r="AF8" s="58"/>
      <c r="AG8" s="58"/>
      <c r="AH8" s="58"/>
      <c r="AI8" s="19"/>
      <c r="AJ8" s="62"/>
      <c r="AK8" s="62"/>
      <c r="AL8" s="62"/>
      <c r="AM8" s="62"/>
      <c r="BA8" s="20"/>
    </row>
    <row r="9" spans="2:53" ht="22.5" customHeight="1" x14ac:dyDescent="0.25">
      <c r="B9" s="63" t="s">
        <v>6</v>
      </c>
      <c r="D9" s="8"/>
      <c r="E9" s="8"/>
      <c r="F9" s="8"/>
      <c r="G9" s="138"/>
      <c r="H9" s="103"/>
      <c r="I9" s="103"/>
      <c r="J9" s="103"/>
      <c r="K9" s="103"/>
      <c r="L9" s="103"/>
      <c r="M9" s="103"/>
      <c r="N9" s="58" t="s">
        <v>646</v>
      </c>
      <c r="O9" s="138"/>
      <c r="P9" s="103"/>
      <c r="Q9" s="103"/>
      <c r="R9" s="103"/>
      <c r="S9" s="103"/>
      <c r="T9" s="103"/>
      <c r="W9" s="21"/>
      <c r="X9" s="21"/>
      <c r="Y9" s="21"/>
      <c r="Z9" s="21"/>
      <c r="AA9" s="21"/>
      <c r="AB9" s="21"/>
      <c r="AC9" s="21"/>
      <c r="AD9" s="21"/>
      <c r="AG9" s="179" t="s">
        <v>8</v>
      </c>
      <c r="AH9" s="103"/>
      <c r="AI9" s="103"/>
      <c r="AJ9" s="103"/>
      <c r="AK9" s="103"/>
      <c r="AL9" s="103"/>
      <c r="AM9" s="103"/>
      <c r="AN9" s="138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27"/>
    </row>
    <row r="10" spans="2:53" ht="15" customHeight="1" x14ac:dyDescent="0.25">
      <c r="B10" s="26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21"/>
      <c r="P10" s="28"/>
      <c r="V10" s="29"/>
      <c r="W10" s="29"/>
      <c r="X10" s="29"/>
      <c r="Y10" s="29"/>
      <c r="Z10" s="29"/>
      <c r="AA10" s="29"/>
      <c r="AB10" s="29"/>
      <c r="AC10" s="29"/>
      <c r="AD10" s="29"/>
      <c r="AY10" s="21"/>
      <c r="AZ10" s="21"/>
      <c r="BA10" s="27"/>
    </row>
    <row r="11" spans="2:53" ht="15" customHeight="1" x14ac:dyDescent="0.25">
      <c r="B11" s="63" t="s">
        <v>9</v>
      </c>
      <c r="C11" s="58"/>
      <c r="D11" s="54"/>
      <c r="E11" s="54"/>
      <c r="F11" s="54"/>
      <c r="G11" s="54"/>
      <c r="H11" s="16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28"/>
      <c r="V11" s="28"/>
      <c r="W11" s="28"/>
      <c r="X11" s="28"/>
      <c r="Y11" s="28"/>
      <c r="Z11" s="28"/>
      <c r="AA11" s="29"/>
      <c r="AB11" s="29"/>
      <c r="AC11" s="29"/>
      <c r="AD11" s="29"/>
      <c r="AE11" s="28" t="s">
        <v>11</v>
      </c>
      <c r="AF11" s="28"/>
      <c r="AG11" s="28"/>
      <c r="AH11" s="28"/>
      <c r="AI11" s="28"/>
      <c r="AJ11" s="28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1"/>
      <c r="AZ11" s="21"/>
      <c r="BA11" s="27"/>
    </row>
    <row r="12" spans="2:53" ht="15" customHeight="1" x14ac:dyDescent="0.25">
      <c r="B12" s="26"/>
      <c r="C12" s="58"/>
      <c r="D12" s="54"/>
      <c r="E12" s="54"/>
      <c r="F12" s="54"/>
      <c r="G12" s="54"/>
      <c r="H12" s="8"/>
      <c r="I12" s="21"/>
      <c r="J12" s="21"/>
      <c r="K12" s="21"/>
      <c r="L12" s="54"/>
      <c r="M12" s="8"/>
      <c r="N12" s="21"/>
      <c r="O12" s="21"/>
      <c r="P12" s="21"/>
      <c r="Q12" s="21"/>
      <c r="R12" s="21"/>
      <c r="AF12" s="28"/>
      <c r="AG12" s="28"/>
      <c r="AH12" s="28"/>
      <c r="AI12" s="28"/>
      <c r="AJ12" s="28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1"/>
      <c r="AZ12" s="21"/>
      <c r="BA12" s="27"/>
    </row>
    <row r="13" spans="2:53" ht="15" customHeight="1" x14ac:dyDescent="0.25">
      <c r="B13" s="26"/>
      <c r="C13" s="58"/>
      <c r="D13" s="54"/>
      <c r="E13" s="54"/>
      <c r="F13" s="54"/>
      <c r="G13" s="54"/>
      <c r="H13" s="8"/>
      <c r="I13" s="21"/>
      <c r="J13" s="21"/>
      <c r="K13" s="21"/>
      <c r="L13" s="54"/>
      <c r="M13" s="8"/>
      <c r="N13" s="21"/>
      <c r="O13" s="21"/>
      <c r="P13" s="21"/>
      <c r="Q13" s="21"/>
      <c r="R13" s="21"/>
      <c r="AF13" s="28"/>
      <c r="AG13" s="28"/>
      <c r="AH13" s="28"/>
      <c r="AI13" s="28"/>
      <c r="AJ13" s="28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1"/>
      <c r="AZ13" s="21"/>
      <c r="BA13" s="27"/>
    </row>
    <row r="14" spans="2:53" ht="15" customHeight="1" x14ac:dyDescent="0.25">
      <c r="B14" s="26"/>
      <c r="C14" s="29"/>
      <c r="D14" s="8" t="s">
        <v>12</v>
      </c>
      <c r="I14" s="8" t="s">
        <v>13</v>
      </c>
      <c r="R14" s="58"/>
      <c r="S14" s="54" t="s">
        <v>14</v>
      </c>
      <c r="AF14" s="29"/>
      <c r="AH14" s="54"/>
      <c r="AI14" s="54" t="s">
        <v>15</v>
      </c>
      <c r="AJ14" s="54"/>
      <c r="AK14" s="54"/>
      <c r="AL14" s="54"/>
      <c r="AM14" s="21"/>
      <c r="AN14" s="58"/>
      <c r="AO14" s="58"/>
      <c r="AP14" s="58"/>
      <c r="AQ14" s="58"/>
      <c r="AR14" s="58"/>
      <c r="AS14" s="58"/>
      <c r="AT14" s="58"/>
      <c r="AU14" s="54"/>
      <c r="AV14" s="54"/>
      <c r="AW14" s="54"/>
      <c r="AX14" s="54"/>
      <c r="AY14" s="21"/>
      <c r="AZ14" s="21"/>
      <c r="BA14" s="27"/>
    </row>
    <row r="15" spans="2:53" ht="8.25" customHeight="1" x14ac:dyDescent="0.25">
      <c r="B15" s="147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22"/>
      <c r="AZ15" s="22"/>
      <c r="BA15" s="23"/>
    </row>
    <row r="16" spans="2:53" ht="9" customHeight="1" x14ac:dyDescent="0.25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</row>
    <row r="17" spans="2:53" ht="16.5" customHeight="1" x14ac:dyDescent="0.25">
      <c r="B17" s="64"/>
      <c r="C17" s="55" t="s">
        <v>16</v>
      </c>
      <c r="D17" s="56"/>
      <c r="E17" s="56"/>
      <c r="F17" s="55"/>
      <c r="G17" s="55"/>
      <c r="H17" s="55"/>
      <c r="I17" s="129"/>
      <c r="J17" s="130"/>
      <c r="K17" s="130"/>
      <c r="L17" s="130"/>
      <c r="M17" s="130"/>
      <c r="N17" s="130"/>
      <c r="O17" s="130"/>
      <c r="P17" s="130"/>
      <c r="Q17" s="130"/>
      <c r="R17" s="130"/>
      <c r="S17" s="57" t="s">
        <v>17</v>
      </c>
      <c r="T17" s="56"/>
      <c r="U17" s="56"/>
      <c r="V17" s="56"/>
      <c r="W17" s="56"/>
      <c r="X17" s="56"/>
      <c r="Y17" s="56"/>
      <c r="Z17" s="61"/>
      <c r="AA17" s="61"/>
      <c r="AB17" s="142"/>
      <c r="AC17" s="130"/>
      <c r="AD17" s="130"/>
      <c r="AE17" s="130"/>
      <c r="AF17" s="175"/>
      <c r="AG17" s="130"/>
      <c r="AH17" s="130"/>
      <c r="AI17" s="130"/>
      <c r="AJ17" s="130"/>
      <c r="AK17" s="130"/>
      <c r="AL17" s="130"/>
      <c r="AM17" s="130"/>
      <c r="AN17" s="130"/>
      <c r="AO17" s="130"/>
      <c r="AP17" s="130"/>
      <c r="AQ17" s="130"/>
      <c r="AR17" s="130"/>
      <c r="AS17" s="24"/>
      <c r="AT17" s="24"/>
      <c r="AU17" s="24"/>
      <c r="AV17" s="24"/>
      <c r="AW17" s="24"/>
      <c r="AX17" s="24"/>
      <c r="AY17" s="24"/>
      <c r="AZ17" s="24"/>
      <c r="BA17" s="25"/>
    </row>
    <row r="18" spans="2:53" ht="3.75" customHeight="1" x14ac:dyDescent="0.25">
      <c r="B18" s="26"/>
      <c r="C18" s="152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21"/>
      <c r="AV18" s="21"/>
      <c r="AW18" s="21"/>
      <c r="AX18" s="21"/>
      <c r="AY18" s="21"/>
      <c r="AZ18" s="21"/>
      <c r="BA18" s="27"/>
    </row>
    <row r="19" spans="2:53" ht="19.5" customHeight="1" x14ac:dyDescent="0.25">
      <c r="B19" s="172" t="s">
        <v>18</v>
      </c>
      <c r="C19" s="103"/>
      <c r="D19" s="103"/>
      <c r="E19" s="103"/>
      <c r="F19" s="103"/>
      <c r="G19" s="103"/>
      <c r="H19" s="10"/>
      <c r="I19" s="102"/>
      <c r="J19" s="103"/>
      <c r="K19" s="103"/>
      <c r="L19" s="103"/>
      <c r="M19" s="103"/>
      <c r="N19" s="103"/>
      <c r="O19" s="103"/>
      <c r="P19" s="103"/>
      <c r="Q19" s="103"/>
      <c r="R19" s="103"/>
      <c r="U19" s="158" t="s">
        <v>20</v>
      </c>
      <c r="V19" s="103"/>
      <c r="W19" s="103"/>
      <c r="X19" s="103"/>
      <c r="Y19" s="8"/>
      <c r="Z19" s="8"/>
      <c r="AA19" s="102"/>
      <c r="AB19" s="103"/>
      <c r="AC19" s="103"/>
      <c r="AD19" s="103"/>
      <c r="AE19" s="103"/>
      <c r="AF19" s="103"/>
      <c r="AG19" s="65"/>
      <c r="AH19" s="29" t="s">
        <v>22</v>
      </c>
      <c r="AI19" s="60"/>
      <c r="AJ19" s="65"/>
      <c r="AK19" s="65"/>
      <c r="AL19" s="65"/>
      <c r="AM19" s="65"/>
      <c r="AN19" s="8" t="s">
        <v>23</v>
      </c>
      <c r="AP19" s="170"/>
      <c r="AQ19" s="103"/>
      <c r="AR19" s="103"/>
      <c r="AS19" s="29" t="s">
        <v>22</v>
      </c>
      <c r="AT19" s="60"/>
      <c r="AU19" s="21"/>
      <c r="AV19" s="21"/>
      <c r="AW19" s="21"/>
      <c r="AX19" s="21"/>
      <c r="AY19" s="21"/>
      <c r="AZ19" s="21"/>
      <c r="BA19" s="27"/>
    </row>
    <row r="20" spans="2:53" ht="8.25" customHeight="1" x14ac:dyDescent="0.25">
      <c r="B20" s="66"/>
      <c r="C20" s="22"/>
      <c r="D20" s="22"/>
      <c r="E20" s="22"/>
      <c r="F20" s="22"/>
      <c r="G20" s="22"/>
      <c r="H20" s="22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2"/>
      <c r="BA20" s="23"/>
    </row>
    <row r="21" spans="2:53" ht="13.95" customHeight="1" x14ac:dyDescent="0.25">
      <c r="B21" s="127" t="s">
        <v>24</v>
      </c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8"/>
      <c r="AM21" s="73"/>
      <c r="AN21" s="115" t="s">
        <v>25</v>
      </c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8"/>
    </row>
    <row r="22" spans="2:53" ht="13.95" customHeight="1" x14ac:dyDescent="0.25">
      <c r="B22" s="169" t="s">
        <v>26</v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68"/>
      <c r="P22" s="31"/>
      <c r="Q22" s="111" t="s">
        <v>27</v>
      </c>
      <c r="R22" s="112"/>
      <c r="S22" s="112"/>
      <c r="T22" s="112"/>
      <c r="U22" s="112"/>
      <c r="V22" s="112"/>
      <c r="W22" s="112"/>
      <c r="X22" s="112"/>
      <c r="Y22" s="113"/>
      <c r="Z22" s="31"/>
      <c r="AA22" s="111" t="s">
        <v>28</v>
      </c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3"/>
      <c r="AM22" s="31"/>
      <c r="AN22" s="183" t="s">
        <v>29</v>
      </c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8"/>
    </row>
    <row r="23" spans="2:53" ht="13.95" customHeight="1" x14ac:dyDescent="0.25">
      <c r="B23" s="173">
        <v>0</v>
      </c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4"/>
      <c r="P23" s="32"/>
      <c r="Q23" s="115">
        <f>AU67</f>
        <v>1384.31</v>
      </c>
      <c r="R23" s="97"/>
      <c r="S23" s="97"/>
      <c r="T23" s="97"/>
      <c r="U23" s="97"/>
      <c r="V23" s="97"/>
      <c r="W23" s="97"/>
      <c r="X23" s="97"/>
      <c r="Y23" s="98"/>
      <c r="Z23" s="33"/>
      <c r="AA23" s="202">
        <v>0</v>
      </c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4"/>
      <c r="AM23" s="72"/>
      <c r="AN23" s="115">
        <f>AU67</f>
        <v>1384.31</v>
      </c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8"/>
    </row>
    <row r="24" spans="2:53" ht="8.25" customHeight="1" x14ac:dyDescent="0.25">
      <c r="B24" s="143" t="s">
        <v>30</v>
      </c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</row>
    <row r="25" spans="2:53" ht="13.95" customHeight="1" x14ac:dyDescent="0.25">
      <c r="B25" s="160" t="s">
        <v>31</v>
      </c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61"/>
    </row>
    <row r="26" spans="2:53" ht="9" customHeight="1" x14ac:dyDescent="0.25">
      <c r="B26" s="132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4"/>
    </row>
    <row r="27" spans="2:53" ht="13.95" customHeight="1" x14ac:dyDescent="0.25">
      <c r="B27" s="192" t="s">
        <v>32</v>
      </c>
      <c r="C27" s="106"/>
      <c r="D27" s="106"/>
      <c r="E27" s="106"/>
      <c r="F27" s="120"/>
      <c r="G27" s="192" t="s">
        <v>33</v>
      </c>
      <c r="H27" s="106"/>
      <c r="I27" s="106"/>
      <c r="J27" s="106"/>
      <c r="K27" s="120"/>
      <c r="L27" s="192" t="s">
        <v>34</v>
      </c>
      <c r="M27" s="106"/>
      <c r="N27" s="106"/>
      <c r="O27" s="106"/>
      <c r="P27" s="120"/>
      <c r="Q27" s="192" t="s">
        <v>35</v>
      </c>
      <c r="R27" s="106"/>
      <c r="S27" s="106"/>
      <c r="T27" s="120"/>
      <c r="U27" s="192" t="s">
        <v>36</v>
      </c>
      <c r="V27" s="106"/>
      <c r="W27" s="106"/>
      <c r="X27" s="106"/>
      <c r="Y27" s="106"/>
      <c r="Z27" s="120"/>
      <c r="AA27" s="192" t="s">
        <v>37</v>
      </c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20"/>
      <c r="AO27" s="198" t="s">
        <v>38</v>
      </c>
      <c r="AP27" s="106"/>
      <c r="AQ27" s="120"/>
      <c r="AR27" s="198" t="s">
        <v>39</v>
      </c>
      <c r="AS27" s="106"/>
      <c r="AT27" s="120"/>
      <c r="AU27" s="192" t="s">
        <v>40</v>
      </c>
      <c r="AV27" s="106"/>
      <c r="AW27" s="106"/>
      <c r="AX27" s="106"/>
      <c r="AY27" s="106"/>
      <c r="AZ27" s="106"/>
      <c r="BA27" s="120"/>
    </row>
    <row r="28" spans="2:53" ht="13.5" customHeight="1" x14ac:dyDescent="0.25">
      <c r="B28" s="121"/>
      <c r="C28" s="112"/>
      <c r="D28" s="112"/>
      <c r="E28" s="112"/>
      <c r="F28" s="113"/>
      <c r="G28" s="121"/>
      <c r="H28" s="112"/>
      <c r="I28" s="112"/>
      <c r="J28" s="112"/>
      <c r="K28" s="113"/>
      <c r="L28" s="121"/>
      <c r="M28" s="112"/>
      <c r="N28" s="112"/>
      <c r="O28" s="112"/>
      <c r="P28" s="113"/>
      <c r="Q28" s="121"/>
      <c r="R28" s="112"/>
      <c r="S28" s="112"/>
      <c r="T28" s="113"/>
      <c r="U28" s="121"/>
      <c r="V28" s="112"/>
      <c r="W28" s="112"/>
      <c r="X28" s="112"/>
      <c r="Y28" s="112"/>
      <c r="Z28" s="113"/>
      <c r="AA28" s="121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3"/>
      <c r="AO28" s="200" t="s">
        <v>41</v>
      </c>
      <c r="AP28" s="112"/>
      <c r="AQ28" s="113"/>
      <c r="AR28" s="200" t="s">
        <v>648</v>
      </c>
      <c r="AS28" s="112"/>
      <c r="AT28" s="113"/>
      <c r="AU28" s="121"/>
      <c r="AV28" s="112"/>
      <c r="AW28" s="112"/>
      <c r="AX28" s="112"/>
      <c r="AY28" s="112"/>
      <c r="AZ28" s="112"/>
      <c r="BA28" s="113"/>
    </row>
    <row r="29" spans="2:53" ht="20.100000000000001" customHeight="1" x14ac:dyDescent="0.25">
      <c r="B29" s="190" t="s">
        <v>662</v>
      </c>
      <c r="C29" s="93"/>
      <c r="D29" s="93"/>
      <c r="E29" s="93"/>
      <c r="F29" s="94"/>
      <c r="G29" s="185">
        <v>210807</v>
      </c>
      <c r="H29" s="97"/>
      <c r="I29" s="97"/>
      <c r="J29" s="97"/>
      <c r="K29" s="98"/>
      <c r="L29" s="185" t="e">
        <f>IF(G29="","",VLOOKUP($AN$5,'Bases - Cadastro'!A:C,3,0))</f>
        <v>#N/A</v>
      </c>
      <c r="M29" s="97"/>
      <c r="N29" s="97"/>
      <c r="O29" s="97"/>
      <c r="P29" s="98"/>
      <c r="Q29" s="194"/>
      <c r="R29" s="93"/>
      <c r="S29" s="93"/>
      <c r="T29" s="94"/>
      <c r="U29" s="95" t="s">
        <v>663</v>
      </c>
      <c r="V29" s="93"/>
      <c r="W29" s="93"/>
      <c r="X29" s="93"/>
      <c r="Y29" s="93"/>
      <c r="Z29" s="94"/>
      <c r="AA29" s="95" t="s">
        <v>664</v>
      </c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4"/>
      <c r="AO29" s="95" t="s">
        <v>665</v>
      </c>
      <c r="AP29" s="93"/>
      <c r="AQ29" s="94"/>
      <c r="AR29" s="187" t="str">
        <f>_xlfn.IFNA(VLOOKUP(AO29,'Bases - Cadastro'!$A$37:$B$62,2,0),"")</f>
        <v/>
      </c>
      <c r="AS29" s="97"/>
      <c r="AT29" s="98"/>
      <c r="AU29" s="92">
        <v>1384.31</v>
      </c>
      <c r="AV29" s="93"/>
      <c r="AW29" s="93"/>
      <c r="AX29" s="93"/>
      <c r="AY29" s="93"/>
      <c r="AZ29" s="93"/>
      <c r="BA29" s="94"/>
    </row>
    <row r="30" spans="2:53" ht="20.100000000000001" customHeight="1" x14ac:dyDescent="0.25">
      <c r="B30" s="190"/>
      <c r="C30" s="93"/>
      <c r="D30" s="93"/>
      <c r="E30" s="93"/>
      <c r="F30" s="94"/>
      <c r="G30" s="185"/>
      <c r="H30" s="97"/>
      <c r="I30" s="97"/>
      <c r="J30" s="97"/>
      <c r="K30" s="98"/>
      <c r="L30" s="185" t="str">
        <f>IF(G30="","",VLOOKUP($AN$5,'Bases - Cadastro'!A:C,3,0))</f>
        <v/>
      </c>
      <c r="M30" s="97"/>
      <c r="N30" s="97"/>
      <c r="O30" s="97"/>
      <c r="P30" s="98"/>
      <c r="Q30" s="194"/>
      <c r="R30" s="93"/>
      <c r="S30" s="93"/>
      <c r="T30" s="94"/>
      <c r="U30" s="95"/>
      <c r="V30" s="93"/>
      <c r="W30" s="93"/>
      <c r="X30" s="93"/>
      <c r="Y30" s="93"/>
      <c r="Z30" s="94"/>
      <c r="AA30" s="95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4"/>
      <c r="AO30" s="95"/>
      <c r="AP30" s="93"/>
      <c r="AQ30" s="94"/>
      <c r="AR30" s="187" t="str">
        <f>_xlfn.IFNA(VLOOKUP(AO30,'Bases - Cadastro'!$A$37:$B$62,2,0),"")</f>
        <v/>
      </c>
      <c r="AS30" s="97"/>
      <c r="AT30" s="98"/>
      <c r="AU30" s="92"/>
      <c r="AV30" s="93"/>
      <c r="AW30" s="93"/>
      <c r="AX30" s="93"/>
      <c r="AY30" s="93"/>
      <c r="AZ30" s="93"/>
      <c r="BA30" s="94"/>
    </row>
    <row r="31" spans="2:53" ht="20.100000000000001" customHeight="1" x14ac:dyDescent="0.25">
      <c r="B31" s="190"/>
      <c r="C31" s="93"/>
      <c r="D31" s="93"/>
      <c r="E31" s="93"/>
      <c r="F31" s="94"/>
      <c r="G31" s="185"/>
      <c r="H31" s="97"/>
      <c r="I31" s="97"/>
      <c r="J31" s="97"/>
      <c r="K31" s="98"/>
      <c r="L31" s="185" t="str">
        <f>IF(G31="","",VLOOKUP($AN$5,'Bases - Cadastro'!A:C,3,0))</f>
        <v/>
      </c>
      <c r="M31" s="97"/>
      <c r="N31" s="97"/>
      <c r="O31" s="97"/>
      <c r="P31" s="98"/>
      <c r="Q31" s="194"/>
      <c r="R31" s="93"/>
      <c r="S31" s="93"/>
      <c r="T31" s="94"/>
      <c r="U31" s="95"/>
      <c r="V31" s="93"/>
      <c r="W31" s="93"/>
      <c r="X31" s="93"/>
      <c r="Y31" s="93"/>
      <c r="Z31" s="94"/>
      <c r="AA31" s="95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4"/>
      <c r="AO31" s="95"/>
      <c r="AP31" s="93"/>
      <c r="AQ31" s="94"/>
      <c r="AR31" s="187" t="str">
        <f>_xlfn.IFNA(VLOOKUP(AO31,'Bases - Cadastro'!$A$37:$B$62,2,0),"")</f>
        <v/>
      </c>
      <c r="AS31" s="97"/>
      <c r="AT31" s="98"/>
      <c r="AU31" s="92"/>
      <c r="AV31" s="93"/>
      <c r="AW31" s="93"/>
      <c r="AX31" s="93"/>
      <c r="AY31" s="93"/>
      <c r="AZ31" s="93"/>
      <c r="BA31" s="94"/>
    </row>
    <row r="32" spans="2:53" ht="20.100000000000001" customHeight="1" x14ac:dyDescent="0.25">
      <c r="B32" s="190"/>
      <c r="C32" s="93"/>
      <c r="D32" s="93"/>
      <c r="E32" s="93"/>
      <c r="F32" s="94"/>
      <c r="G32" s="185"/>
      <c r="H32" s="97"/>
      <c r="I32" s="97"/>
      <c r="J32" s="97"/>
      <c r="K32" s="98"/>
      <c r="L32" s="185" t="str">
        <f>IF(G32="","",VLOOKUP($AN$5,'Bases - Cadastro'!A:C,3,0))</f>
        <v/>
      </c>
      <c r="M32" s="97"/>
      <c r="N32" s="97"/>
      <c r="O32" s="97"/>
      <c r="P32" s="98"/>
      <c r="Q32" s="194"/>
      <c r="R32" s="93"/>
      <c r="S32" s="93"/>
      <c r="T32" s="94"/>
      <c r="U32" s="95"/>
      <c r="V32" s="93"/>
      <c r="W32" s="93"/>
      <c r="X32" s="93"/>
      <c r="Y32" s="93"/>
      <c r="Z32" s="94"/>
      <c r="AA32" s="95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4"/>
      <c r="AO32" s="95"/>
      <c r="AP32" s="93"/>
      <c r="AQ32" s="94"/>
      <c r="AR32" s="187" t="str">
        <f>_xlfn.IFNA(VLOOKUP(AO32,'Bases - Cadastro'!$A$37:$B$62,2,0),"")</f>
        <v/>
      </c>
      <c r="AS32" s="97"/>
      <c r="AT32" s="98"/>
      <c r="AU32" s="92"/>
      <c r="AV32" s="93"/>
      <c r="AW32" s="93"/>
      <c r="AX32" s="93"/>
      <c r="AY32" s="93"/>
      <c r="AZ32" s="93"/>
      <c r="BA32" s="94"/>
    </row>
    <row r="33" spans="2:57" ht="28.5" customHeight="1" x14ac:dyDescent="0.25">
      <c r="B33" s="190"/>
      <c r="C33" s="93"/>
      <c r="D33" s="93"/>
      <c r="E33" s="93"/>
      <c r="F33" s="94"/>
      <c r="G33" s="185"/>
      <c r="H33" s="97"/>
      <c r="I33" s="97"/>
      <c r="J33" s="97"/>
      <c r="K33" s="98"/>
      <c r="L33" s="185" t="str">
        <f>IF(G33="","",VLOOKUP($AN$5,'Bases - Cadastro'!A:C,3,0))</f>
        <v/>
      </c>
      <c r="M33" s="97"/>
      <c r="N33" s="97"/>
      <c r="O33" s="97"/>
      <c r="P33" s="98"/>
      <c r="Q33" s="194"/>
      <c r="R33" s="93"/>
      <c r="S33" s="93"/>
      <c r="T33" s="94"/>
      <c r="U33" s="95"/>
      <c r="V33" s="93"/>
      <c r="W33" s="93"/>
      <c r="X33" s="93"/>
      <c r="Y33" s="93"/>
      <c r="Z33" s="94"/>
      <c r="AA33" s="95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4"/>
      <c r="AO33" s="95"/>
      <c r="AP33" s="93"/>
      <c r="AQ33" s="94"/>
      <c r="AR33" s="187" t="str">
        <f>_xlfn.IFNA(VLOOKUP(AO33,'Bases - Cadastro'!$A$37:$B$62,2,0),"")</f>
        <v/>
      </c>
      <c r="AS33" s="97"/>
      <c r="AT33" s="98"/>
      <c r="AU33" s="92"/>
      <c r="AV33" s="93"/>
      <c r="AW33" s="93"/>
      <c r="AX33" s="93"/>
      <c r="AY33" s="93"/>
      <c r="AZ33" s="93"/>
      <c r="BA33" s="94"/>
    </row>
    <row r="34" spans="2:57" ht="20.100000000000001" customHeight="1" x14ac:dyDescent="0.25">
      <c r="B34" s="190"/>
      <c r="C34" s="93"/>
      <c r="D34" s="93"/>
      <c r="E34" s="93"/>
      <c r="F34" s="94"/>
      <c r="G34" s="185"/>
      <c r="H34" s="97"/>
      <c r="I34" s="97"/>
      <c r="J34" s="97"/>
      <c r="K34" s="98"/>
      <c r="L34" s="185" t="str">
        <f>IF(G34="","",VLOOKUP($AN$5,'Bases - Cadastro'!A:C,3,0))</f>
        <v/>
      </c>
      <c r="M34" s="97"/>
      <c r="N34" s="97"/>
      <c r="O34" s="97"/>
      <c r="P34" s="98"/>
      <c r="Q34" s="194"/>
      <c r="R34" s="93"/>
      <c r="S34" s="93"/>
      <c r="T34" s="94"/>
      <c r="U34" s="95"/>
      <c r="V34" s="93"/>
      <c r="W34" s="93"/>
      <c r="X34" s="93"/>
      <c r="Y34" s="93"/>
      <c r="Z34" s="94"/>
      <c r="AA34" s="95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4"/>
      <c r="AO34" s="95"/>
      <c r="AP34" s="93"/>
      <c r="AQ34" s="94"/>
      <c r="AR34" s="187" t="str">
        <f>_xlfn.IFNA(VLOOKUP(AO34,'Bases - Cadastro'!$A$37:$B$62,2,0),"")</f>
        <v/>
      </c>
      <c r="AS34" s="97"/>
      <c r="AT34" s="98"/>
      <c r="AU34" s="92"/>
      <c r="AV34" s="93"/>
      <c r="AW34" s="93"/>
      <c r="AX34" s="93"/>
      <c r="AY34" s="93"/>
      <c r="AZ34" s="93"/>
      <c r="BA34" s="94"/>
      <c r="BD34" s="67"/>
    </row>
    <row r="35" spans="2:57" ht="20.100000000000001" customHeight="1" x14ac:dyDescent="0.3">
      <c r="B35" s="190"/>
      <c r="C35" s="93"/>
      <c r="D35" s="93"/>
      <c r="E35" s="93"/>
      <c r="F35" s="94"/>
      <c r="G35" s="185"/>
      <c r="H35" s="97"/>
      <c r="I35" s="97"/>
      <c r="J35" s="97"/>
      <c r="K35" s="98"/>
      <c r="L35" s="185" t="str">
        <f>IF(G35="","",VLOOKUP($AN$5,'Bases - Cadastro'!A:C,3,0))</f>
        <v/>
      </c>
      <c r="M35" s="97"/>
      <c r="N35" s="97"/>
      <c r="O35" s="97"/>
      <c r="P35" s="98"/>
      <c r="Q35" s="194"/>
      <c r="R35" s="93"/>
      <c r="S35" s="93"/>
      <c r="T35" s="94"/>
      <c r="U35" s="95"/>
      <c r="V35" s="93"/>
      <c r="W35" s="93"/>
      <c r="X35" s="93"/>
      <c r="Y35" s="93"/>
      <c r="Z35" s="94"/>
      <c r="AA35" s="95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4"/>
      <c r="AO35" s="95"/>
      <c r="AP35" s="93"/>
      <c r="AQ35" s="94"/>
      <c r="AR35" s="187" t="str">
        <f>_xlfn.IFNA(VLOOKUP(AO35,'Bases - Cadastro'!$A$37:$B$62,2,0),"")</f>
        <v/>
      </c>
      <c r="AS35" s="97"/>
      <c r="AT35" s="98"/>
      <c r="AU35" s="92"/>
      <c r="AV35" s="93"/>
      <c r="AW35" s="93"/>
      <c r="AX35" s="93"/>
      <c r="AY35" s="93"/>
      <c r="AZ35" s="93"/>
      <c r="BA35" s="94"/>
      <c r="BB35" s="34"/>
      <c r="BC35" s="69"/>
    </row>
    <row r="36" spans="2:57" ht="20.100000000000001" customHeight="1" x14ac:dyDescent="0.3">
      <c r="B36" s="190"/>
      <c r="C36" s="93"/>
      <c r="D36" s="93"/>
      <c r="E36" s="93"/>
      <c r="F36" s="94"/>
      <c r="G36" s="185"/>
      <c r="H36" s="97"/>
      <c r="I36" s="97"/>
      <c r="J36" s="97"/>
      <c r="K36" s="98"/>
      <c r="L36" s="185" t="str">
        <f>IF(G36="","",VLOOKUP($AN$5,'Bases - Cadastro'!A:C,3,0))</f>
        <v/>
      </c>
      <c r="M36" s="97"/>
      <c r="N36" s="97"/>
      <c r="O36" s="97"/>
      <c r="P36" s="98"/>
      <c r="Q36" s="194"/>
      <c r="R36" s="93"/>
      <c r="S36" s="93"/>
      <c r="T36" s="94"/>
      <c r="U36" s="95"/>
      <c r="V36" s="93"/>
      <c r="W36" s="93"/>
      <c r="X36" s="93"/>
      <c r="Y36" s="93"/>
      <c r="Z36" s="94"/>
      <c r="AA36" s="95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4"/>
      <c r="AO36" s="95"/>
      <c r="AP36" s="93"/>
      <c r="AQ36" s="94"/>
      <c r="AR36" s="187" t="str">
        <f>_xlfn.IFNA(VLOOKUP(AO36,'Bases - Cadastro'!$A$37:$B$62,2,0),"")</f>
        <v/>
      </c>
      <c r="AS36" s="97"/>
      <c r="AT36" s="98"/>
      <c r="AU36" s="92"/>
      <c r="AV36" s="93"/>
      <c r="AW36" s="93"/>
      <c r="AX36" s="93"/>
      <c r="AY36" s="93"/>
      <c r="AZ36" s="93"/>
      <c r="BA36" s="94"/>
      <c r="BB36" s="34"/>
      <c r="BC36" s="69"/>
    </row>
    <row r="37" spans="2:57" ht="20.100000000000001" customHeight="1" x14ac:dyDescent="0.25">
      <c r="B37" s="190"/>
      <c r="C37" s="93"/>
      <c r="D37" s="93"/>
      <c r="E37" s="93"/>
      <c r="F37" s="94"/>
      <c r="G37" s="185"/>
      <c r="H37" s="97"/>
      <c r="I37" s="97"/>
      <c r="J37" s="97"/>
      <c r="K37" s="98"/>
      <c r="L37" s="185" t="str">
        <f>IF(G37="","",VLOOKUP($AN$5,'Bases - Cadastro'!A:C,3,0))</f>
        <v/>
      </c>
      <c r="M37" s="97"/>
      <c r="N37" s="97"/>
      <c r="O37" s="97"/>
      <c r="P37" s="98"/>
      <c r="Q37" s="194"/>
      <c r="R37" s="93"/>
      <c r="S37" s="93"/>
      <c r="T37" s="94"/>
      <c r="U37" s="95"/>
      <c r="V37" s="93"/>
      <c r="W37" s="93"/>
      <c r="X37" s="93"/>
      <c r="Y37" s="93"/>
      <c r="Z37" s="94"/>
      <c r="AA37" s="95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4"/>
      <c r="AO37" s="95"/>
      <c r="AP37" s="93"/>
      <c r="AQ37" s="94"/>
      <c r="AR37" s="187" t="str">
        <f>_xlfn.IFNA(VLOOKUP(AO37,'Bases - Cadastro'!$A$37:$B$62,2,0),"")</f>
        <v/>
      </c>
      <c r="AS37" s="97"/>
      <c r="AT37" s="98"/>
      <c r="AU37" s="92"/>
      <c r="AV37" s="93"/>
      <c r="AW37" s="93"/>
      <c r="AX37" s="93"/>
      <c r="AY37" s="93"/>
      <c r="AZ37" s="93"/>
      <c r="BA37" s="94"/>
      <c r="BC37" s="70"/>
      <c r="BE37" s="67"/>
    </row>
    <row r="38" spans="2:57" ht="14.1" customHeight="1" x14ac:dyDescent="0.25">
      <c r="B38" s="190"/>
      <c r="C38" s="93"/>
      <c r="D38" s="93"/>
      <c r="E38" s="93"/>
      <c r="F38" s="94"/>
      <c r="G38" s="185"/>
      <c r="H38" s="97"/>
      <c r="I38" s="97"/>
      <c r="J38" s="97"/>
      <c r="K38" s="98"/>
      <c r="L38" s="185" t="str">
        <f>IF(G38="","",VLOOKUP($AN$5,'Bases - Cadastro'!A:C,3,0))</f>
        <v/>
      </c>
      <c r="M38" s="97"/>
      <c r="N38" s="97"/>
      <c r="O38" s="97"/>
      <c r="P38" s="98"/>
      <c r="Q38" s="194"/>
      <c r="R38" s="93"/>
      <c r="S38" s="93"/>
      <c r="T38" s="94"/>
      <c r="U38" s="95"/>
      <c r="V38" s="93"/>
      <c r="W38" s="93"/>
      <c r="X38" s="93"/>
      <c r="Y38" s="93"/>
      <c r="Z38" s="94"/>
      <c r="AA38" s="95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4"/>
      <c r="AO38" s="95"/>
      <c r="AP38" s="93"/>
      <c r="AQ38" s="94"/>
      <c r="AR38" s="187" t="str">
        <f>_xlfn.IFNA(VLOOKUP(AO38,'Bases - Cadastro'!$A$37:$B$62,2,0),"")</f>
        <v/>
      </c>
      <c r="AS38" s="97"/>
      <c r="AT38" s="98"/>
      <c r="AU38" s="92"/>
      <c r="AV38" s="93"/>
      <c r="AW38" s="93"/>
      <c r="AX38" s="93"/>
      <c r="AY38" s="93"/>
      <c r="AZ38" s="93"/>
      <c r="BA38" s="94"/>
    </row>
    <row r="39" spans="2:57" ht="14.1" customHeight="1" x14ac:dyDescent="0.25">
      <c r="B39" s="190"/>
      <c r="C39" s="93"/>
      <c r="D39" s="93"/>
      <c r="E39" s="93"/>
      <c r="F39" s="94"/>
      <c r="G39" s="185"/>
      <c r="H39" s="97"/>
      <c r="I39" s="97"/>
      <c r="J39" s="97"/>
      <c r="K39" s="98"/>
      <c r="L39" s="185" t="str">
        <f>IF(G39="","",VLOOKUP($AN$5,'Bases - Cadastro'!A:C,3,0))</f>
        <v/>
      </c>
      <c r="M39" s="97"/>
      <c r="N39" s="97"/>
      <c r="O39" s="97"/>
      <c r="P39" s="98"/>
      <c r="Q39" s="194"/>
      <c r="R39" s="93"/>
      <c r="S39" s="93"/>
      <c r="T39" s="94"/>
      <c r="U39" s="95"/>
      <c r="V39" s="93"/>
      <c r="W39" s="93"/>
      <c r="X39" s="93"/>
      <c r="Y39" s="93"/>
      <c r="Z39" s="94"/>
      <c r="AA39" s="95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4"/>
      <c r="AO39" s="95"/>
      <c r="AP39" s="93"/>
      <c r="AQ39" s="94"/>
      <c r="AR39" s="187" t="str">
        <f>_xlfn.IFNA(VLOOKUP(AO39,'Bases - Cadastro'!$A$37:$B$62,2,0),"")</f>
        <v/>
      </c>
      <c r="AS39" s="97"/>
      <c r="AT39" s="98"/>
      <c r="AU39" s="92"/>
      <c r="AV39" s="93"/>
      <c r="AW39" s="93"/>
      <c r="AX39" s="93"/>
      <c r="AY39" s="93"/>
      <c r="AZ39" s="93"/>
      <c r="BA39" s="94"/>
    </row>
    <row r="40" spans="2:57" ht="14.1" customHeight="1" x14ac:dyDescent="0.25">
      <c r="B40" s="190"/>
      <c r="C40" s="93"/>
      <c r="D40" s="93"/>
      <c r="E40" s="93"/>
      <c r="F40" s="94"/>
      <c r="G40" s="185"/>
      <c r="H40" s="97"/>
      <c r="I40" s="97"/>
      <c r="J40" s="97"/>
      <c r="K40" s="98"/>
      <c r="L40" s="185" t="str">
        <f>IF(G40="","",VLOOKUP($AN$5,'Bases - Cadastro'!A:C,3,0))</f>
        <v/>
      </c>
      <c r="M40" s="97"/>
      <c r="N40" s="97"/>
      <c r="O40" s="97"/>
      <c r="P40" s="98"/>
      <c r="Q40" s="194"/>
      <c r="R40" s="93"/>
      <c r="S40" s="93"/>
      <c r="T40" s="94"/>
      <c r="U40" s="95"/>
      <c r="V40" s="93"/>
      <c r="W40" s="93"/>
      <c r="X40" s="93"/>
      <c r="Y40" s="93"/>
      <c r="Z40" s="94"/>
      <c r="AA40" s="95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4"/>
      <c r="AO40" s="95"/>
      <c r="AP40" s="93"/>
      <c r="AQ40" s="94"/>
      <c r="AR40" s="187" t="str">
        <f>_xlfn.IFNA(VLOOKUP(AO40,'Bases - Cadastro'!$A$37:$B$62,2,0),"")</f>
        <v/>
      </c>
      <c r="AS40" s="97"/>
      <c r="AT40" s="98"/>
      <c r="AU40" s="92"/>
      <c r="AV40" s="93"/>
      <c r="AW40" s="93"/>
      <c r="AX40" s="93"/>
      <c r="AY40" s="93"/>
      <c r="AZ40" s="93"/>
      <c r="BA40" s="94"/>
    </row>
    <row r="41" spans="2:57" ht="14.1" customHeight="1" x14ac:dyDescent="0.25">
      <c r="B41" s="190"/>
      <c r="C41" s="93"/>
      <c r="D41" s="93"/>
      <c r="E41" s="93"/>
      <c r="F41" s="94"/>
      <c r="G41" s="185"/>
      <c r="H41" s="97"/>
      <c r="I41" s="97"/>
      <c r="J41" s="97"/>
      <c r="K41" s="98"/>
      <c r="L41" s="185" t="str">
        <f>IF(G41="","",VLOOKUP($AN$5,'Bases - Cadastro'!A:C,3,0))</f>
        <v/>
      </c>
      <c r="M41" s="97"/>
      <c r="N41" s="97"/>
      <c r="O41" s="97"/>
      <c r="P41" s="98"/>
      <c r="Q41" s="194"/>
      <c r="R41" s="93"/>
      <c r="S41" s="93"/>
      <c r="T41" s="94"/>
      <c r="U41" s="95"/>
      <c r="V41" s="93"/>
      <c r="W41" s="93"/>
      <c r="X41" s="93"/>
      <c r="Y41" s="93"/>
      <c r="Z41" s="94"/>
      <c r="AA41" s="95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4"/>
      <c r="AO41" s="95"/>
      <c r="AP41" s="93"/>
      <c r="AQ41" s="94"/>
      <c r="AR41" s="187" t="str">
        <f>_xlfn.IFNA(VLOOKUP(AO41,'Bases - Cadastro'!$A$37:$B$62,2,0),"")</f>
        <v/>
      </c>
      <c r="AS41" s="97"/>
      <c r="AT41" s="98"/>
      <c r="AU41" s="92"/>
      <c r="AV41" s="93"/>
      <c r="AW41" s="93"/>
      <c r="AX41" s="93"/>
      <c r="AY41" s="93"/>
      <c r="AZ41" s="93"/>
      <c r="BA41" s="94"/>
      <c r="BE41" s="35"/>
    </row>
    <row r="42" spans="2:57" ht="14.1" customHeight="1" x14ac:dyDescent="0.25">
      <c r="B42" s="190"/>
      <c r="C42" s="93"/>
      <c r="D42" s="93"/>
      <c r="E42" s="93"/>
      <c r="F42" s="94"/>
      <c r="G42" s="185"/>
      <c r="H42" s="97"/>
      <c r="I42" s="97"/>
      <c r="J42" s="97"/>
      <c r="K42" s="98"/>
      <c r="L42" s="185" t="str">
        <f>IF(G42="","",VLOOKUP($AN$5,'Bases - Cadastro'!A:C,3,0))</f>
        <v/>
      </c>
      <c r="M42" s="97"/>
      <c r="N42" s="97"/>
      <c r="O42" s="97"/>
      <c r="P42" s="98"/>
      <c r="Q42" s="194"/>
      <c r="R42" s="93"/>
      <c r="S42" s="93"/>
      <c r="T42" s="94"/>
      <c r="U42" s="95"/>
      <c r="V42" s="93"/>
      <c r="W42" s="93"/>
      <c r="X42" s="93"/>
      <c r="Y42" s="93"/>
      <c r="Z42" s="94"/>
      <c r="AA42" s="95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4"/>
      <c r="AO42" s="95"/>
      <c r="AP42" s="93"/>
      <c r="AQ42" s="94"/>
      <c r="AR42" s="187" t="str">
        <f>_xlfn.IFNA(VLOOKUP(AO42,'Bases - Cadastro'!$A$37:$B$62,2,0),"")</f>
        <v/>
      </c>
      <c r="AS42" s="97"/>
      <c r="AT42" s="98"/>
      <c r="AU42" s="92"/>
      <c r="AV42" s="93"/>
      <c r="AW42" s="93"/>
      <c r="AX42" s="93"/>
      <c r="AY42" s="93"/>
      <c r="AZ42" s="93"/>
      <c r="BA42" s="94"/>
    </row>
    <row r="43" spans="2:57" ht="14.1" customHeight="1" x14ac:dyDescent="0.25">
      <c r="B43" s="190"/>
      <c r="C43" s="93"/>
      <c r="D43" s="93"/>
      <c r="E43" s="93"/>
      <c r="F43" s="94"/>
      <c r="G43" s="185"/>
      <c r="H43" s="97"/>
      <c r="I43" s="97"/>
      <c r="J43" s="97"/>
      <c r="K43" s="98"/>
      <c r="L43" s="185" t="str">
        <f>IF(G43="","",VLOOKUP($AN$5,'Bases - Cadastro'!A:C,3,0))</f>
        <v/>
      </c>
      <c r="M43" s="97"/>
      <c r="N43" s="97"/>
      <c r="O43" s="97"/>
      <c r="P43" s="98"/>
      <c r="Q43" s="194"/>
      <c r="R43" s="93"/>
      <c r="S43" s="93"/>
      <c r="T43" s="94"/>
      <c r="U43" s="95"/>
      <c r="V43" s="93"/>
      <c r="W43" s="93"/>
      <c r="X43" s="93"/>
      <c r="Y43" s="93"/>
      <c r="Z43" s="94"/>
      <c r="AA43" s="95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4"/>
      <c r="AO43" s="95"/>
      <c r="AP43" s="93"/>
      <c r="AQ43" s="94"/>
      <c r="AR43" s="187" t="str">
        <f>_xlfn.IFNA(VLOOKUP(AO43,'Bases - Cadastro'!$A$37:$B$62,2,0),"")</f>
        <v/>
      </c>
      <c r="AS43" s="97"/>
      <c r="AT43" s="98"/>
      <c r="AU43" s="92"/>
      <c r="AV43" s="93"/>
      <c r="AW43" s="93"/>
      <c r="AX43" s="93"/>
      <c r="AY43" s="93"/>
      <c r="AZ43" s="93"/>
      <c r="BA43" s="94"/>
    </row>
    <row r="44" spans="2:57" ht="14.1" customHeight="1" x14ac:dyDescent="0.25">
      <c r="B44" s="190"/>
      <c r="C44" s="93"/>
      <c r="D44" s="93"/>
      <c r="E44" s="93"/>
      <c r="F44" s="94"/>
      <c r="G44" s="185"/>
      <c r="H44" s="97"/>
      <c r="I44" s="97"/>
      <c r="J44" s="97"/>
      <c r="K44" s="98"/>
      <c r="L44" s="185" t="str">
        <f>IF(G44="","",VLOOKUP($AN$5,'Bases - Cadastro'!A:C,3,0))</f>
        <v/>
      </c>
      <c r="M44" s="97"/>
      <c r="N44" s="97"/>
      <c r="O44" s="97"/>
      <c r="P44" s="98"/>
      <c r="Q44" s="194"/>
      <c r="R44" s="93"/>
      <c r="S44" s="93"/>
      <c r="T44" s="94"/>
      <c r="U44" s="95"/>
      <c r="V44" s="93"/>
      <c r="W44" s="93"/>
      <c r="X44" s="93"/>
      <c r="Y44" s="93"/>
      <c r="Z44" s="94"/>
      <c r="AA44" s="95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4"/>
      <c r="AO44" s="95"/>
      <c r="AP44" s="93"/>
      <c r="AQ44" s="94"/>
      <c r="AR44" s="187" t="str">
        <f>_xlfn.IFNA(VLOOKUP(AO44,'Bases - Cadastro'!$A$37:$B$62,2,0),"")</f>
        <v/>
      </c>
      <c r="AS44" s="97"/>
      <c r="AT44" s="98"/>
      <c r="AU44" s="92"/>
      <c r="AV44" s="93"/>
      <c r="AW44" s="93"/>
      <c r="AX44" s="93"/>
      <c r="AY44" s="93"/>
      <c r="AZ44" s="93"/>
      <c r="BA44" s="94"/>
    </row>
    <row r="45" spans="2:57" ht="14.1" customHeight="1" x14ac:dyDescent="0.25">
      <c r="B45" s="190"/>
      <c r="C45" s="93"/>
      <c r="D45" s="93"/>
      <c r="E45" s="93"/>
      <c r="F45" s="94"/>
      <c r="G45" s="185"/>
      <c r="H45" s="97"/>
      <c r="I45" s="97"/>
      <c r="J45" s="97"/>
      <c r="K45" s="98"/>
      <c r="L45" s="185" t="str">
        <f>IF(G45="","",VLOOKUP($AN$5,'Bases - Cadastro'!A:C,3,0))</f>
        <v/>
      </c>
      <c r="M45" s="97"/>
      <c r="N45" s="97"/>
      <c r="O45" s="97"/>
      <c r="P45" s="98"/>
      <c r="Q45" s="194"/>
      <c r="R45" s="93"/>
      <c r="S45" s="93"/>
      <c r="T45" s="94"/>
      <c r="U45" s="95"/>
      <c r="V45" s="93"/>
      <c r="W45" s="93"/>
      <c r="X45" s="93"/>
      <c r="Y45" s="93"/>
      <c r="Z45" s="94"/>
      <c r="AA45" s="95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4"/>
      <c r="AO45" s="95"/>
      <c r="AP45" s="93"/>
      <c r="AQ45" s="94"/>
      <c r="AR45" s="187" t="str">
        <f>_xlfn.IFNA(VLOOKUP(AO45,'Bases - Cadastro'!$A$37:$B$62,2,0),"")</f>
        <v/>
      </c>
      <c r="AS45" s="97"/>
      <c r="AT45" s="98"/>
      <c r="AU45" s="92"/>
      <c r="AV45" s="93"/>
      <c r="AW45" s="93"/>
      <c r="AX45" s="93"/>
      <c r="AY45" s="93"/>
      <c r="AZ45" s="93"/>
      <c r="BA45" s="94"/>
    </row>
    <row r="46" spans="2:57" ht="14.1" customHeight="1" x14ac:dyDescent="0.25">
      <c r="B46" s="190"/>
      <c r="C46" s="93"/>
      <c r="D46" s="93"/>
      <c r="E46" s="93"/>
      <c r="F46" s="94"/>
      <c r="G46" s="185"/>
      <c r="H46" s="97"/>
      <c r="I46" s="97"/>
      <c r="J46" s="97"/>
      <c r="K46" s="98"/>
      <c r="L46" s="185" t="str">
        <f>IF(G46="","",VLOOKUP($AN$5,'Bases - Cadastro'!A:C,3,0))</f>
        <v/>
      </c>
      <c r="M46" s="97"/>
      <c r="N46" s="97"/>
      <c r="O46" s="97"/>
      <c r="P46" s="98"/>
      <c r="Q46" s="194"/>
      <c r="R46" s="93"/>
      <c r="S46" s="93"/>
      <c r="T46" s="94"/>
      <c r="U46" s="95"/>
      <c r="V46" s="93"/>
      <c r="W46" s="93"/>
      <c r="X46" s="93"/>
      <c r="Y46" s="93"/>
      <c r="Z46" s="94"/>
      <c r="AA46" s="95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4"/>
      <c r="AO46" s="95"/>
      <c r="AP46" s="93"/>
      <c r="AQ46" s="94"/>
      <c r="AR46" s="187" t="str">
        <f>_xlfn.IFNA(VLOOKUP(AO46,'Bases - Cadastro'!$A$37:$B$62,2,0),"")</f>
        <v/>
      </c>
      <c r="AS46" s="97"/>
      <c r="AT46" s="98"/>
      <c r="AU46" s="92"/>
      <c r="AV46" s="93"/>
      <c r="AW46" s="93"/>
      <c r="AX46" s="93"/>
      <c r="AY46" s="93"/>
      <c r="AZ46" s="93"/>
      <c r="BA46" s="94"/>
    </row>
    <row r="47" spans="2:57" ht="14.1" customHeight="1" x14ac:dyDescent="0.25">
      <c r="B47" s="190"/>
      <c r="C47" s="93"/>
      <c r="D47" s="93"/>
      <c r="E47" s="93"/>
      <c r="F47" s="94"/>
      <c r="G47" s="185"/>
      <c r="H47" s="97"/>
      <c r="I47" s="97"/>
      <c r="J47" s="97"/>
      <c r="K47" s="98"/>
      <c r="L47" s="185" t="str">
        <f>IF(G47="","",VLOOKUP($AN$5,'Bases - Cadastro'!A:C,3,0))</f>
        <v/>
      </c>
      <c r="M47" s="97"/>
      <c r="N47" s="97"/>
      <c r="O47" s="97"/>
      <c r="P47" s="98"/>
      <c r="Q47" s="194"/>
      <c r="R47" s="93"/>
      <c r="S47" s="93"/>
      <c r="T47" s="94"/>
      <c r="U47" s="95"/>
      <c r="V47" s="93"/>
      <c r="W47" s="93"/>
      <c r="X47" s="93"/>
      <c r="Y47" s="93"/>
      <c r="Z47" s="94"/>
      <c r="AA47" s="95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4"/>
      <c r="AO47" s="95"/>
      <c r="AP47" s="93"/>
      <c r="AQ47" s="94"/>
      <c r="AR47" s="187" t="str">
        <f>_xlfn.IFNA(VLOOKUP(AO47,'Bases - Cadastro'!$A$37:$B$62,2,0),"")</f>
        <v/>
      </c>
      <c r="AS47" s="97"/>
      <c r="AT47" s="98"/>
      <c r="AU47" s="92"/>
      <c r="AV47" s="93"/>
      <c r="AW47" s="93"/>
      <c r="AX47" s="93"/>
      <c r="AY47" s="93"/>
      <c r="AZ47" s="93"/>
      <c r="BA47" s="94"/>
    </row>
    <row r="48" spans="2:57" ht="14.1" customHeight="1" x14ac:dyDescent="0.25">
      <c r="B48" s="190"/>
      <c r="C48" s="93"/>
      <c r="D48" s="93"/>
      <c r="E48" s="93"/>
      <c r="F48" s="94"/>
      <c r="G48" s="185"/>
      <c r="H48" s="97"/>
      <c r="I48" s="97"/>
      <c r="J48" s="97"/>
      <c r="K48" s="98"/>
      <c r="L48" s="185" t="str">
        <f>IF(G48="","",VLOOKUP($AN$5,'Bases - Cadastro'!A:C,3,0))</f>
        <v/>
      </c>
      <c r="M48" s="97"/>
      <c r="N48" s="97"/>
      <c r="O48" s="97"/>
      <c r="P48" s="98"/>
      <c r="Q48" s="194"/>
      <c r="R48" s="93"/>
      <c r="S48" s="93"/>
      <c r="T48" s="94"/>
      <c r="U48" s="95"/>
      <c r="V48" s="93"/>
      <c r="W48" s="93"/>
      <c r="X48" s="93"/>
      <c r="Y48" s="93"/>
      <c r="Z48" s="94"/>
      <c r="AA48" s="95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4"/>
      <c r="AO48" s="95"/>
      <c r="AP48" s="93"/>
      <c r="AQ48" s="94"/>
      <c r="AR48" s="187" t="str">
        <f>_xlfn.IFNA(VLOOKUP(AO48,'Bases - Cadastro'!$A$37:$B$62,2,0),"")</f>
        <v/>
      </c>
      <c r="AS48" s="97"/>
      <c r="AT48" s="98"/>
      <c r="AU48" s="92"/>
      <c r="AV48" s="93"/>
      <c r="AW48" s="93"/>
      <c r="AX48" s="93"/>
      <c r="AY48" s="93"/>
      <c r="AZ48" s="93"/>
      <c r="BA48" s="94"/>
    </row>
    <row r="49" spans="2:53" ht="14.1" customHeight="1" x14ac:dyDescent="0.25">
      <c r="B49" s="190"/>
      <c r="C49" s="93"/>
      <c r="D49" s="93"/>
      <c r="E49" s="93"/>
      <c r="F49" s="94"/>
      <c r="G49" s="185"/>
      <c r="H49" s="97"/>
      <c r="I49" s="97"/>
      <c r="J49" s="97"/>
      <c r="K49" s="98"/>
      <c r="L49" s="185" t="str">
        <f>IF(G49="","",VLOOKUP($AN$5,'Bases - Cadastro'!A:C,3,0))</f>
        <v/>
      </c>
      <c r="M49" s="97"/>
      <c r="N49" s="97"/>
      <c r="O49" s="97"/>
      <c r="P49" s="98"/>
      <c r="Q49" s="194"/>
      <c r="R49" s="93"/>
      <c r="S49" s="93"/>
      <c r="T49" s="94"/>
      <c r="U49" s="95"/>
      <c r="V49" s="93"/>
      <c r="W49" s="93"/>
      <c r="X49" s="93"/>
      <c r="Y49" s="93"/>
      <c r="Z49" s="94"/>
      <c r="AA49" s="95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4"/>
      <c r="AO49" s="95"/>
      <c r="AP49" s="93"/>
      <c r="AQ49" s="94"/>
      <c r="AR49" s="187" t="str">
        <f>_xlfn.IFNA(VLOOKUP(AO49,'Bases - Cadastro'!$A$37:$B$62,2,0),"")</f>
        <v/>
      </c>
      <c r="AS49" s="97"/>
      <c r="AT49" s="98"/>
      <c r="AU49" s="92"/>
      <c r="AV49" s="93"/>
      <c r="AW49" s="93"/>
      <c r="AX49" s="93"/>
      <c r="AY49" s="93"/>
      <c r="AZ49" s="93"/>
      <c r="BA49" s="94"/>
    </row>
    <row r="50" spans="2:53" ht="14.1" customHeight="1" x14ac:dyDescent="0.25">
      <c r="B50" s="190"/>
      <c r="C50" s="93"/>
      <c r="D50" s="93"/>
      <c r="E50" s="93"/>
      <c r="F50" s="94"/>
      <c r="G50" s="185"/>
      <c r="H50" s="97"/>
      <c r="I50" s="97"/>
      <c r="J50" s="97"/>
      <c r="K50" s="98"/>
      <c r="L50" s="185" t="str">
        <f>IF(G50="","",VLOOKUP($AN$5,'Bases - Cadastro'!A:C,3,0))</f>
        <v/>
      </c>
      <c r="M50" s="97"/>
      <c r="N50" s="97"/>
      <c r="O50" s="97"/>
      <c r="P50" s="98"/>
      <c r="Q50" s="194"/>
      <c r="R50" s="93"/>
      <c r="S50" s="93"/>
      <c r="T50" s="94"/>
      <c r="U50" s="95"/>
      <c r="V50" s="93"/>
      <c r="W50" s="93"/>
      <c r="X50" s="93"/>
      <c r="Y50" s="93"/>
      <c r="Z50" s="94"/>
      <c r="AA50" s="95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4"/>
      <c r="AO50" s="95"/>
      <c r="AP50" s="93"/>
      <c r="AQ50" s="94"/>
      <c r="AR50" s="187" t="str">
        <f>_xlfn.IFNA(VLOOKUP(AO50,'Bases - Cadastro'!$A$37:$B$62,2,0),"")</f>
        <v/>
      </c>
      <c r="AS50" s="97"/>
      <c r="AT50" s="98"/>
      <c r="AU50" s="92"/>
      <c r="AV50" s="93"/>
      <c r="AW50" s="93"/>
      <c r="AX50" s="93"/>
      <c r="AY50" s="93"/>
      <c r="AZ50" s="93"/>
      <c r="BA50" s="94"/>
    </row>
    <row r="51" spans="2:53" ht="14.1" customHeight="1" x14ac:dyDescent="0.25">
      <c r="B51" s="190"/>
      <c r="C51" s="93"/>
      <c r="D51" s="93"/>
      <c r="E51" s="93"/>
      <c r="F51" s="94"/>
      <c r="G51" s="185"/>
      <c r="H51" s="97"/>
      <c r="I51" s="97"/>
      <c r="J51" s="97"/>
      <c r="K51" s="98"/>
      <c r="L51" s="185" t="str">
        <f>IF(G51="","",VLOOKUP($AN$5,'Bases - Cadastro'!A:C,3,0))</f>
        <v/>
      </c>
      <c r="M51" s="97"/>
      <c r="N51" s="97"/>
      <c r="O51" s="97"/>
      <c r="P51" s="98"/>
      <c r="Q51" s="194"/>
      <c r="R51" s="93"/>
      <c r="S51" s="93"/>
      <c r="T51" s="94"/>
      <c r="U51" s="95"/>
      <c r="V51" s="93"/>
      <c r="W51" s="93"/>
      <c r="X51" s="93"/>
      <c r="Y51" s="93"/>
      <c r="Z51" s="94"/>
      <c r="AA51" s="95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4"/>
      <c r="AO51" s="95"/>
      <c r="AP51" s="93"/>
      <c r="AQ51" s="94"/>
      <c r="AR51" s="187" t="str">
        <f>_xlfn.IFNA(VLOOKUP(AO51,'Bases - Cadastro'!$A$37:$B$62,2,0),"")</f>
        <v/>
      </c>
      <c r="AS51" s="97"/>
      <c r="AT51" s="98"/>
      <c r="AU51" s="92"/>
      <c r="AV51" s="93"/>
      <c r="AW51" s="93"/>
      <c r="AX51" s="93"/>
      <c r="AY51" s="93"/>
      <c r="AZ51" s="93"/>
      <c r="BA51" s="94"/>
    </row>
    <row r="52" spans="2:53" ht="14.1" customHeight="1" x14ac:dyDescent="0.25">
      <c r="B52" s="190"/>
      <c r="C52" s="93"/>
      <c r="D52" s="93"/>
      <c r="E52" s="93"/>
      <c r="F52" s="94"/>
      <c r="G52" s="185"/>
      <c r="H52" s="97"/>
      <c r="I52" s="97"/>
      <c r="J52" s="97"/>
      <c r="K52" s="98"/>
      <c r="L52" s="185" t="str">
        <f>IF(G52="","",VLOOKUP($AN$5,'Bases - Cadastro'!A:C,3,0))</f>
        <v/>
      </c>
      <c r="M52" s="97"/>
      <c r="N52" s="97"/>
      <c r="O52" s="97"/>
      <c r="P52" s="98"/>
      <c r="Q52" s="194"/>
      <c r="R52" s="93"/>
      <c r="S52" s="93"/>
      <c r="T52" s="94"/>
      <c r="U52" s="95"/>
      <c r="V52" s="93"/>
      <c r="W52" s="93"/>
      <c r="X52" s="93"/>
      <c r="Y52" s="93"/>
      <c r="Z52" s="94"/>
      <c r="AA52" s="95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4"/>
      <c r="AO52" s="95"/>
      <c r="AP52" s="93"/>
      <c r="AQ52" s="94"/>
      <c r="AR52" s="187" t="str">
        <f>_xlfn.IFNA(VLOOKUP(AO52,'Bases - Cadastro'!$A$37:$B$62,2,0),"")</f>
        <v/>
      </c>
      <c r="AS52" s="97"/>
      <c r="AT52" s="98"/>
      <c r="AU52" s="92"/>
      <c r="AV52" s="93"/>
      <c r="AW52" s="93"/>
      <c r="AX52" s="93"/>
      <c r="AY52" s="93"/>
      <c r="AZ52" s="93"/>
      <c r="BA52" s="94"/>
    </row>
    <row r="53" spans="2:53" ht="14.1" customHeight="1" x14ac:dyDescent="0.25">
      <c r="B53" s="190"/>
      <c r="C53" s="93"/>
      <c r="D53" s="93"/>
      <c r="E53" s="93"/>
      <c r="F53" s="94"/>
      <c r="G53" s="185"/>
      <c r="H53" s="97"/>
      <c r="I53" s="97"/>
      <c r="J53" s="97"/>
      <c r="K53" s="98"/>
      <c r="L53" s="185" t="str">
        <f>IF(G53="","",VLOOKUP($AN$5,'Bases - Cadastro'!A:C,3,0))</f>
        <v/>
      </c>
      <c r="M53" s="97"/>
      <c r="N53" s="97"/>
      <c r="O53" s="97"/>
      <c r="P53" s="98"/>
      <c r="Q53" s="194"/>
      <c r="R53" s="93"/>
      <c r="S53" s="93"/>
      <c r="T53" s="94"/>
      <c r="U53" s="95"/>
      <c r="V53" s="93"/>
      <c r="W53" s="93"/>
      <c r="X53" s="93"/>
      <c r="Y53" s="93"/>
      <c r="Z53" s="94"/>
      <c r="AA53" s="95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4"/>
      <c r="AO53" s="95"/>
      <c r="AP53" s="93"/>
      <c r="AQ53" s="94"/>
      <c r="AR53" s="187" t="str">
        <f>_xlfn.IFNA(VLOOKUP(AO53,'Bases - Cadastro'!$A$37:$B$62,2,0),"")</f>
        <v/>
      </c>
      <c r="AS53" s="97"/>
      <c r="AT53" s="98"/>
      <c r="AU53" s="92"/>
      <c r="AV53" s="93"/>
      <c r="AW53" s="93"/>
      <c r="AX53" s="93"/>
      <c r="AY53" s="93"/>
      <c r="AZ53" s="93"/>
      <c r="BA53" s="94"/>
    </row>
    <row r="54" spans="2:53" ht="14.1" customHeight="1" x14ac:dyDescent="0.25">
      <c r="B54" s="190"/>
      <c r="C54" s="93"/>
      <c r="D54" s="93"/>
      <c r="E54" s="93"/>
      <c r="F54" s="94"/>
      <c r="G54" s="185"/>
      <c r="H54" s="97"/>
      <c r="I54" s="97"/>
      <c r="J54" s="97"/>
      <c r="K54" s="98"/>
      <c r="L54" s="185" t="str">
        <f>IF(G54="","",VLOOKUP($AN$5,'Bases - Cadastro'!A:C,3,0))</f>
        <v/>
      </c>
      <c r="M54" s="97"/>
      <c r="N54" s="97"/>
      <c r="O54" s="97"/>
      <c r="P54" s="98"/>
      <c r="Q54" s="194"/>
      <c r="R54" s="93"/>
      <c r="S54" s="93"/>
      <c r="T54" s="94"/>
      <c r="U54" s="95"/>
      <c r="V54" s="93"/>
      <c r="W54" s="93"/>
      <c r="X54" s="93"/>
      <c r="Y54" s="93"/>
      <c r="Z54" s="94"/>
      <c r="AA54" s="95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4"/>
      <c r="AO54" s="95"/>
      <c r="AP54" s="93"/>
      <c r="AQ54" s="94"/>
      <c r="AR54" s="187" t="str">
        <f>_xlfn.IFNA(VLOOKUP(AO54,'Bases - Cadastro'!$A$37:$B$62,2,0),"")</f>
        <v/>
      </c>
      <c r="AS54" s="97"/>
      <c r="AT54" s="98"/>
      <c r="AU54" s="92"/>
      <c r="AV54" s="93"/>
      <c r="AW54" s="93"/>
      <c r="AX54" s="93"/>
      <c r="AY54" s="93"/>
      <c r="AZ54" s="93"/>
      <c r="BA54" s="94"/>
    </row>
    <row r="55" spans="2:53" ht="14.1" customHeight="1" x14ac:dyDescent="0.25">
      <c r="B55" s="190"/>
      <c r="C55" s="93"/>
      <c r="D55" s="93"/>
      <c r="E55" s="93"/>
      <c r="F55" s="94"/>
      <c r="G55" s="185"/>
      <c r="H55" s="97"/>
      <c r="I55" s="97"/>
      <c r="J55" s="97"/>
      <c r="K55" s="98"/>
      <c r="L55" s="185" t="str">
        <f>IF(G55="","",VLOOKUP($AN$5,'Bases - Cadastro'!A:C,3,0))</f>
        <v/>
      </c>
      <c r="M55" s="97"/>
      <c r="N55" s="97"/>
      <c r="O55" s="97"/>
      <c r="P55" s="98"/>
      <c r="Q55" s="194"/>
      <c r="R55" s="93"/>
      <c r="S55" s="93"/>
      <c r="T55" s="94"/>
      <c r="U55" s="95"/>
      <c r="V55" s="93"/>
      <c r="W55" s="93"/>
      <c r="X55" s="93"/>
      <c r="Y55" s="93"/>
      <c r="Z55" s="94"/>
      <c r="AA55" s="95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4"/>
      <c r="AO55" s="95"/>
      <c r="AP55" s="93"/>
      <c r="AQ55" s="94"/>
      <c r="AR55" s="187" t="str">
        <f>_xlfn.IFNA(VLOOKUP(AO55,'Bases - Cadastro'!$A$37:$B$62,2,0),"")</f>
        <v/>
      </c>
      <c r="AS55" s="97"/>
      <c r="AT55" s="98"/>
      <c r="AU55" s="92"/>
      <c r="AV55" s="93"/>
      <c r="AW55" s="93"/>
      <c r="AX55" s="93"/>
      <c r="AY55" s="93"/>
      <c r="AZ55" s="93"/>
      <c r="BA55" s="94"/>
    </row>
    <row r="56" spans="2:53" ht="14.1" customHeight="1" x14ac:dyDescent="0.25">
      <c r="B56" s="190"/>
      <c r="C56" s="93"/>
      <c r="D56" s="93"/>
      <c r="E56" s="93"/>
      <c r="F56" s="94"/>
      <c r="G56" s="185"/>
      <c r="H56" s="97"/>
      <c r="I56" s="97"/>
      <c r="J56" s="97"/>
      <c r="K56" s="98"/>
      <c r="L56" s="185" t="str">
        <f>IF(G56="","",VLOOKUP($AN$5,'Bases - Cadastro'!A:C,3,0))</f>
        <v/>
      </c>
      <c r="M56" s="97"/>
      <c r="N56" s="97"/>
      <c r="O56" s="97"/>
      <c r="P56" s="98"/>
      <c r="Q56" s="194"/>
      <c r="R56" s="93"/>
      <c r="S56" s="93"/>
      <c r="T56" s="94"/>
      <c r="U56" s="95"/>
      <c r="V56" s="93"/>
      <c r="W56" s="93"/>
      <c r="X56" s="93"/>
      <c r="Y56" s="93"/>
      <c r="Z56" s="94"/>
      <c r="AA56" s="95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4"/>
      <c r="AO56" s="95"/>
      <c r="AP56" s="93"/>
      <c r="AQ56" s="94"/>
      <c r="AR56" s="187" t="str">
        <f>_xlfn.IFNA(VLOOKUP(AO56,'Bases - Cadastro'!$A$37:$B$62,2,0),"")</f>
        <v/>
      </c>
      <c r="AS56" s="97"/>
      <c r="AT56" s="98"/>
      <c r="AU56" s="92"/>
      <c r="AV56" s="93"/>
      <c r="AW56" s="93"/>
      <c r="AX56" s="93"/>
      <c r="AY56" s="93"/>
      <c r="AZ56" s="93"/>
      <c r="BA56" s="94"/>
    </row>
    <row r="57" spans="2:53" ht="14.1" customHeight="1" x14ac:dyDescent="0.25">
      <c r="B57" s="190"/>
      <c r="C57" s="93"/>
      <c r="D57" s="93"/>
      <c r="E57" s="93"/>
      <c r="F57" s="94"/>
      <c r="G57" s="185"/>
      <c r="H57" s="97"/>
      <c r="I57" s="97"/>
      <c r="J57" s="97"/>
      <c r="K57" s="98"/>
      <c r="L57" s="185" t="str">
        <f>IF(G57="","",VLOOKUP($AN$5,'Bases - Cadastro'!A:C,3,0))</f>
        <v/>
      </c>
      <c r="M57" s="97"/>
      <c r="N57" s="97"/>
      <c r="O57" s="97"/>
      <c r="P57" s="98"/>
      <c r="Q57" s="194"/>
      <c r="R57" s="93"/>
      <c r="S57" s="93"/>
      <c r="T57" s="94"/>
      <c r="U57" s="95"/>
      <c r="V57" s="93"/>
      <c r="W57" s="93"/>
      <c r="X57" s="93"/>
      <c r="Y57" s="93"/>
      <c r="Z57" s="94"/>
      <c r="AA57" s="95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4"/>
      <c r="AO57" s="95"/>
      <c r="AP57" s="93"/>
      <c r="AQ57" s="94"/>
      <c r="AR57" s="187" t="str">
        <f>_xlfn.IFNA(VLOOKUP(AO57,'Bases - Cadastro'!$A$37:$B$62,2,0),"")</f>
        <v/>
      </c>
      <c r="AS57" s="97"/>
      <c r="AT57" s="98"/>
      <c r="AU57" s="92"/>
      <c r="AV57" s="93"/>
      <c r="AW57" s="93"/>
      <c r="AX57" s="93"/>
      <c r="AY57" s="93"/>
      <c r="AZ57" s="93"/>
      <c r="BA57" s="94"/>
    </row>
    <row r="58" spans="2:53" ht="14.1" customHeight="1" x14ac:dyDescent="0.25">
      <c r="B58" s="190"/>
      <c r="C58" s="93"/>
      <c r="D58" s="93"/>
      <c r="E58" s="93"/>
      <c r="F58" s="94"/>
      <c r="G58" s="185"/>
      <c r="H58" s="97"/>
      <c r="I58" s="97"/>
      <c r="J58" s="97"/>
      <c r="K58" s="98"/>
      <c r="L58" s="185" t="str">
        <f>IF(G58="","",VLOOKUP($AN$5,'Bases - Cadastro'!A:C,3,0))</f>
        <v/>
      </c>
      <c r="M58" s="97"/>
      <c r="N58" s="97"/>
      <c r="O58" s="97"/>
      <c r="P58" s="98"/>
      <c r="Q58" s="194"/>
      <c r="R58" s="93"/>
      <c r="S58" s="93"/>
      <c r="T58" s="94"/>
      <c r="U58" s="95"/>
      <c r="V58" s="93"/>
      <c r="W58" s="93"/>
      <c r="X58" s="93"/>
      <c r="Y58" s="93"/>
      <c r="Z58" s="94"/>
      <c r="AA58" s="95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4"/>
      <c r="AO58" s="95"/>
      <c r="AP58" s="93"/>
      <c r="AQ58" s="94"/>
      <c r="AR58" s="187" t="str">
        <f>_xlfn.IFNA(VLOOKUP(AO58,'Bases - Cadastro'!$A$37:$B$62,2,0),"")</f>
        <v/>
      </c>
      <c r="AS58" s="97"/>
      <c r="AT58" s="98"/>
      <c r="AU58" s="184"/>
      <c r="AV58" s="93"/>
      <c r="AW58" s="93"/>
      <c r="AX58" s="93"/>
      <c r="AY58" s="93"/>
      <c r="AZ58" s="93"/>
      <c r="BA58" s="94"/>
    </row>
    <row r="59" spans="2:53" ht="14.1" customHeight="1" x14ac:dyDescent="0.25">
      <c r="B59" s="190"/>
      <c r="C59" s="93"/>
      <c r="D59" s="93"/>
      <c r="E59" s="93"/>
      <c r="F59" s="94"/>
      <c r="G59" s="185"/>
      <c r="H59" s="97"/>
      <c r="I59" s="97"/>
      <c r="J59" s="97"/>
      <c r="K59" s="98"/>
      <c r="L59" s="185" t="str">
        <f>IF(G59="","",VLOOKUP($AN$5,'Bases - Cadastro'!A:C,3,0))</f>
        <v/>
      </c>
      <c r="M59" s="97"/>
      <c r="N59" s="97"/>
      <c r="O59" s="97"/>
      <c r="P59" s="98"/>
      <c r="Q59" s="194"/>
      <c r="R59" s="93"/>
      <c r="S59" s="93"/>
      <c r="T59" s="94"/>
      <c r="U59" s="95"/>
      <c r="V59" s="93"/>
      <c r="W59" s="93"/>
      <c r="X59" s="93"/>
      <c r="Y59" s="93"/>
      <c r="Z59" s="94"/>
      <c r="AA59" s="95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4"/>
      <c r="AO59" s="95"/>
      <c r="AP59" s="93"/>
      <c r="AQ59" s="94"/>
      <c r="AR59" s="187" t="str">
        <f>_xlfn.IFNA(VLOOKUP(AO59,'Bases - Cadastro'!$A$37:$B$62,2,0),"")</f>
        <v/>
      </c>
      <c r="AS59" s="97"/>
      <c r="AT59" s="98"/>
      <c r="AU59" s="184"/>
      <c r="AV59" s="93"/>
      <c r="AW59" s="93"/>
      <c r="AX59" s="93"/>
      <c r="AY59" s="93"/>
      <c r="AZ59" s="93"/>
      <c r="BA59" s="94"/>
    </row>
    <row r="60" spans="2:53" ht="14.1" customHeight="1" x14ac:dyDescent="0.25">
      <c r="B60" s="190"/>
      <c r="C60" s="93"/>
      <c r="D60" s="93"/>
      <c r="E60" s="93"/>
      <c r="F60" s="94"/>
      <c r="G60" s="185"/>
      <c r="H60" s="97"/>
      <c r="I60" s="97"/>
      <c r="J60" s="97"/>
      <c r="K60" s="98"/>
      <c r="L60" s="185" t="str">
        <f>IF(G60="","",VLOOKUP($AN$5,'Bases - Cadastro'!A:C,3,0))</f>
        <v/>
      </c>
      <c r="M60" s="97"/>
      <c r="N60" s="97"/>
      <c r="O60" s="97"/>
      <c r="P60" s="98"/>
      <c r="Q60" s="194"/>
      <c r="R60" s="93"/>
      <c r="S60" s="93"/>
      <c r="T60" s="94"/>
      <c r="U60" s="95"/>
      <c r="V60" s="93"/>
      <c r="W60" s="93"/>
      <c r="X60" s="93"/>
      <c r="Y60" s="93"/>
      <c r="Z60" s="94"/>
      <c r="AA60" s="95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4"/>
      <c r="AO60" s="95"/>
      <c r="AP60" s="93"/>
      <c r="AQ60" s="94"/>
      <c r="AR60" s="187" t="str">
        <f>_xlfn.IFNA(VLOOKUP(AO60,'Bases - Cadastro'!$A$37:$B$62,2,0),"")</f>
        <v/>
      </c>
      <c r="AS60" s="97"/>
      <c r="AT60" s="98"/>
      <c r="AU60" s="184"/>
      <c r="AV60" s="93"/>
      <c r="AW60" s="93"/>
      <c r="AX60" s="93"/>
      <c r="AY60" s="93"/>
      <c r="AZ60" s="93"/>
      <c r="BA60" s="94"/>
    </row>
    <row r="61" spans="2:53" ht="14.1" customHeight="1" x14ac:dyDescent="0.25">
      <c r="B61" s="190"/>
      <c r="C61" s="93"/>
      <c r="D61" s="93"/>
      <c r="E61" s="93"/>
      <c r="F61" s="94"/>
      <c r="G61" s="185"/>
      <c r="H61" s="97"/>
      <c r="I61" s="97"/>
      <c r="J61" s="97"/>
      <c r="K61" s="98"/>
      <c r="L61" s="185" t="str">
        <f>IF(G61="","",VLOOKUP($AN$5,'Bases - Cadastro'!A:C,3,0))</f>
        <v/>
      </c>
      <c r="M61" s="97"/>
      <c r="N61" s="97"/>
      <c r="O61" s="97"/>
      <c r="P61" s="98"/>
      <c r="Q61" s="194"/>
      <c r="R61" s="93"/>
      <c r="S61" s="93"/>
      <c r="T61" s="94"/>
      <c r="U61" s="95"/>
      <c r="V61" s="93"/>
      <c r="W61" s="93"/>
      <c r="X61" s="93"/>
      <c r="Y61" s="93"/>
      <c r="Z61" s="94"/>
      <c r="AA61" s="95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4"/>
      <c r="AO61" s="95"/>
      <c r="AP61" s="93"/>
      <c r="AQ61" s="94"/>
      <c r="AR61" s="187" t="str">
        <f>_xlfn.IFNA(VLOOKUP(AO61,'Bases - Cadastro'!$A$37:$B$62,2,0),"")</f>
        <v/>
      </c>
      <c r="AS61" s="97"/>
      <c r="AT61" s="98"/>
      <c r="AU61" s="184"/>
      <c r="AV61" s="93"/>
      <c r="AW61" s="93"/>
      <c r="AX61" s="93"/>
      <c r="AY61" s="93"/>
      <c r="AZ61" s="93"/>
      <c r="BA61" s="94"/>
    </row>
    <row r="62" spans="2:53" ht="14.1" customHeight="1" x14ac:dyDescent="0.25">
      <c r="B62" s="190"/>
      <c r="C62" s="93"/>
      <c r="D62" s="93"/>
      <c r="E62" s="93"/>
      <c r="F62" s="94"/>
      <c r="G62" s="185"/>
      <c r="H62" s="97"/>
      <c r="I62" s="97"/>
      <c r="J62" s="97"/>
      <c r="K62" s="98"/>
      <c r="L62" s="185" t="str">
        <f>IF(G62="","",VLOOKUP($AN$5,'Bases - Cadastro'!A:C,3,0))</f>
        <v/>
      </c>
      <c r="M62" s="97"/>
      <c r="N62" s="97"/>
      <c r="O62" s="97"/>
      <c r="P62" s="98"/>
      <c r="Q62" s="194"/>
      <c r="R62" s="93"/>
      <c r="S62" s="93"/>
      <c r="T62" s="94"/>
      <c r="U62" s="95"/>
      <c r="V62" s="93"/>
      <c r="W62" s="93"/>
      <c r="X62" s="93"/>
      <c r="Y62" s="93"/>
      <c r="Z62" s="94"/>
      <c r="AA62" s="95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4"/>
      <c r="AO62" s="95"/>
      <c r="AP62" s="93"/>
      <c r="AQ62" s="94"/>
      <c r="AR62" s="187" t="str">
        <f>_xlfn.IFNA(VLOOKUP(AO62,'Bases - Cadastro'!$A$37:$B$62,2,0),"")</f>
        <v/>
      </c>
      <c r="AS62" s="97"/>
      <c r="AT62" s="98"/>
      <c r="AU62" s="184"/>
      <c r="AV62" s="93"/>
      <c r="AW62" s="93"/>
      <c r="AX62" s="93"/>
      <c r="AY62" s="93"/>
      <c r="AZ62" s="93"/>
      <c r="BA62" s="94"/>
    </row>
    <row r="63" spans="2:53" ht="13.95" customHeight="1" x14ac:dyDescent="0.25">
      <c r="B63" s="190"/>
      <c r="C63" s="93"/>
      <c r="D63" s="93"/>
      <c r="E63" s="93"/>
      <c r="F63" s="94"/>
      <c r="G63" s="185"/>
      <c r="H63" s="97"/>
      <c r="I63" s="97"/>
      <c r="J63" s="97"/>
      <c r="K63" s="98"/>
      <c r="L63" s="185" t="str">
        <f>IF(G63="","",VLOOKUP($AN$5,'Bases - Cadastro'!A:C,3,0))</f>
        <v/>
      </c>
      <c r="M63" s="97"/>
      <c r="N63" s="97"/>
      <c r="O63" s="97"/>
      <c r="P63" s="98"/>
      <c r="Q63" s="194"/>
      <c r="R63" s="93"/>
      <c r="S63" s="93"/>
      <c r="T63" s="94"/>
      <c r="U63" s="95"/>
      <c r="V63" s="93"/>
      <c r="W63" s="93"/>
      <c r="X63" s="93"/>
      <c r="Y63" s="93"/>
      <c r="Z63" s="94"/>
      <c r="AA63" s="95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4"/>
      <c r="AO63" s="95"/>
      <c r="AP63" s="93"/>
      <c r="AQ63" s="94"/>
      <c r="AR63" s="187" t="str">
        <f>_xlfn.IFNA(VLOOKUP(AO63,'Bases - Cadastro'!$A$37:$B$62,2,0),"")</f>
        <v/>
      </c>
      <c r="AS63" s="97"/>
      <c r="AT63" s="98"/>
      <c r="AU63" s="184"/>
      <c r="AV63" s="93"/>
      <c r="AW63" s="93"/>
      <c r="AX63" s="93"/>
      <c r="AY63" s="93"/>
      <c r="AZ63" s="93"/>
      <c r="BA63" s="94"/>
    </row>
    <row r="64" spans="2:53" ht="13.95" customHeight="1" x14ac:dyDescent="0.25">
      <c r="B64" s="190"/>
      <c r="C64" s="93"/>
      <c r="D64" s="93"/>
      <c r="E64" s="93"/>
      <c r="F64" s="94"/>
      <c r="G64" s="185"/>
      <c r="H64" s="97"/>
      <c r="I64" s="97"/>
      <c r="J64" s="97"/>
      <c r="K64" s="98"/>
      <c r="L64" s="185" t="str">
        <f>IF(G64="","",VLOOKUP($AN$5,'Bases - Cadastro'!A:C,3,0))</f>
        <v/>
      </c>
      <c r="M64" s="97"/>
      <c r="N64" s="97"/>
      <c r="O64" s="97"/>
      <c r="P64" s="98"/>
      <c r="Q64" s="194"/>
      <c r="R64" s="93"/>
      <c r="S64" s="93"/>
      <c r="T64" s="94"/>
      <c r="U64" s="95"/>
      <c r="V64" s="93"/>
      <c r="W64" s="93"/>
      <c r="X64" s="93"/>
      <c r="Y64" s="93"/>
      <c r="Z64" s="94"/>
      <c r="AA64" s="95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4"/>
      <c r="AO64" s="95"/>
      <c r="AP64" s="93"/>
      <c r="AQ64" s="94"/>
      <c r="AR64" s="187" t="str">
        <f>_xlfn.IFNA(VLOOKUP(AO64,'Bases - Cadastro'!$A$37:$B$62,2,0),"")</f>
        <v/>
      </c>
      <c r="AS64" s="97"/>
      <c r="AT64" s="98"/>
      <c r="AU64" s="196"/>
      <c r="AV64" s="93"/>
      <c r="AW64" s="93"/>
      <c r="AX64" s="93"/>
      <c r="AY64" s="93"/>
      <c r="AZ64" s="93"/>
      <c r="BA64" s="94"/>
    </row>
    <row r="65" spans="2:57" ht="13.95" customHeight="1" x14ac:dyDescent="0.25">
      <c r="B65" s="190"/>
      <c r="C65" s="93"/>
      <c r="D65" s="93"/>
      <c r="E65" s="93"/>
      <c r="F65" s="94"/>
      <c r="G65" s="185"/>
      <c r="H65" s="97"/>
      <c r="I65" s="97"/>
      <c r="J65" s="97"/>
      <c r="K65" s="98"/>
      <c r="L65" s="185" t="str">
        <f>IF(G65="","",VLOOKUP($AN$5,'Bases - Cadastro'!A:C,3,0))</f>
        <v/>
      </c>
      <c r="M65" s="97"/>
      <c r="N65" s="97"/>
      <c r="O65" s="97"/>
      <c r="P65" s="98"/>
      <c r="Q65" s="194"/>
      <c r="R65" s="93"/>
      <c r="S65" s="93"/>
      <c r="T65" s="94"/>
      <c r="U65" s="95"/>
      <c r="V65" s="93"/>
      <c r="W65" s="93"/>
      <c r="X65" s="93"/>
      <c r="Y65" s="93"/>
      <c r="Z65" s="94"/>
      <c r="AA65" s="95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4"/>
      <c r="AO65" s="95"/>
      <c r="AP65" s="93"/>
      <c r="AQ65" s="94"/>
      <c r="AR65" s="187" t="str">
        <f>_xlfn.IFNA(VLOOKUP(AO65,'Bases - Cadastro'!$A$37:$B$62,2,0),"")</f>
        <v/>
      </c>
      <c r="AS65" s="97"/>
      <c r="AT65" s="98"/>
      <c r="AU65" s="196"/>
      <c r="AV65" s="93"/>
      <c r="AW65" s="93"/>
      <c r="AX65" s="93"/>
      <c r="AY65" s="93"/>
      <c r="AZ65" s="93"/>
      <c r="BA65" s="94"/>
    </row>
    <row r="66" spans="2:57" ht="13.95" customHeight="1" x14ac:dyDescent="0.25">
      <c r="B66" s="190"/>
      <c r="C66" s="93"/>
      <c r="D66" s="93"/>
      <c r="E66" s="93"/>
      <c r="F66" s="94"/>
      <c r="G66" s="185"/>
      <c r="H66" s="97"/>
      <c r="I66" s="97"/>
      <c r="J66" s="97"/>
      <c r="K66" s="98"/>
      <c r="L66" s="185" t="str">
        <f>IF(G66="","",VLOOKUP($AN$5,'Bases - Cadastro'!A:C,3,0))</f>
        <v/>
      </c>
      <c r="M66" s="97"/>
      <c r="N66" s="97"/>
      <c r="O66" s="97"/>
      <c r="P66" s="98"/>
      <c r="Q66" s="194"/>
      <c r="R66" s="93"/>
      <c r="S66" s="93"/>
      <c r="T66" s="94"/>
      <c r="U66" s="95"/>
      <c r="V66" s="93"/>
      <c r="W66" s="93"/>
      <c r="X66" s="93"/>
      <c r="Y66" s="93"/>
      <c r="Z66" s="94"/>
      <c r="AA66" s="95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4"/>
      <c r="AO66" s="95"/>
      <c r="AP66" s="93"/>
      <c r="AQ66" s="94"/>
      <c r="AR66" s="187" t="str">
        <f>_xlfn.IFNA(VLOOKUP(AO66,'Bases - Cadastro'!$A$37:$B$62,2,0),"")</f>
        <v/>
      </c>
      <c r="AS66" s="97"/>
      <c r="AT66" s="98"/>
      <c r="AU66" s="196"/>
      <c r="AV66" s="93"/>
      <c r="AW66" s="93"/>
      <c r="AX66" s="93"/>
      <c r="AY66" s="93"/>
      <c r="AZ66" s="93"/>
      <c r="BA66" s="94"/>
    </row>
    <row r="67" spans="2:57" ht="13.5" customHeight="1" x14ac:dyDescent="0.25">
      <c r="B67" s="203" t="s">
        <v>43</v>
      </c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8"/>
      <c r="AU67" s="140">
        <f>SUM(AU29:BA66)</f>
        <v>1384.31</v>
      </c>
      <c r="AV67" s="97"/>
      <c r="AW67" s="97"/>
      <c r="AX67" s="97"/>
      <c r="AY67" s="97"/>
      <c r="AZ67" s="97"/>
      <c r="BA67" s="98"/>
      <c r="BE67" s="71"/>
    </row>
    <row r="68" spans="2:57" ht="11.25" customHeight="1" thickBot="1" x14ac:dyDescent="0.3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AE68" s="16"/>
      <c r="AF68" s="36"/>
      <c r="AG68" s="3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37"/>
      <c r="AU68" s="37"/>
      <c r="AV68" s="37"/>
      <c r="AW68" s="37"/>
      <c r="AX68" s="37"/>
      <c r="AY68" s="37"/>
      <c r="AZ68" s="37"/>
      <c r="BA68" s="37"/>
    </row>
    <row r="69" spans="2:57" ht="14.25" customHeight="1" thickBot="1" x14ac:dyDescent="0.3">
      <c r="B69" s="16"/>
      <c r="C69" s="89" t="s">
        <v>44</v>
      </c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1"/>
      <c r="S69" s="21"/>
      <c r="T69" s="21"/>
      <c r="U69" s="89" t="s">
        <v>45</v>
      </c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1"/>
      <c r="AH69" s="38"/>
    </row>
    <row r="70" spans="2:57" ht="14.25" customHeight="1" thickBot="1" x14ac:dyDescent="0.3">
      <c r="B70" s="16"/>
      <c r="C70" s="89" t="s">
        <v>32</v>
      </c>
      <c r="D70" s="90"/>
      <c r="E70" s="90"/>
      <c r="F70" s="90"/>
      <c r="G70" s="91"/>
      <c r="H70" s="89" t="s">
        <v>47</v>
      </c>
      <c r="I70" s="90"/>
      <c r="J70" s="90"/>
      <c r="K70" s="90"/>
      <c r="L70" s="90"/>
      <c r="M70" s="90"/>
      <c r="N70" s="90"/>
      <c r="O70" s="90"/>
      <c r="P70" s="90"/>
      <c r="Q70" s="90"/>
      <c r="R70" s="91"/>
      <c r="S70" s="21"/>
      <c r="T70" s="21"/>
      <c r="U70" s="89" t="s">
        <v>32</v>
      </c>
      <c r="V70" s="91"/>
      <c r="W70" s="89" t="s">
        <v>47</v>
      </c>
      <c r="X70" s="90"/>
      <c r="Y70" s="90"/>
      <c r="Z70" s="90"/>
      <c r="AA70" s="90"/>
      <c r="AB70" s="90"/>
      <c r="AC70" s="90"/>
      <c r="AD70" s="90"/>
      <c r="AE70" s="90"/>
      <c r="AF70" s="90"/>
      <c r="AG70" s="91"/>
      <c r="AH70" s="38"/>
    </row>
    <row r="71" spans="2:57" ht="45" customHeight="1" thickBot="1" x14ac:dyDescent="0.3">
      <c r="B71" s="16"/>
      <c r="C71" s="191"/>
      <c r="D71" s="90"/>
      <c r="E71" s="90"/>
      <c r="F71" s="90"/>
      <c r="G71" s="91"/>
      <c r="H71" s="123"/>
      <c r="I71" s="117"/>
      <c r="J71" s="117"/>
      <c r="K71" s="117"/>
      <c r="L71" s="117"/>
      <c r="M71" s="117"/>
      <c r="N71" s="117"/>
      <c r="O71" s="117"/>
      <c r="P71" s="117"/>
      <c r="Q71" s="117"/>
      <c r="R71" s="118"/>
      <c r="S71" s="16"/>
      <c r="T71" s="16"/>
      <c r="U71" s="122"/>
      <c r="V71" s="118"/>
      <c r="W71" s="123"/>
      <c r="X71" s="117"/>
      <c r="Y71" s="117"/>
      <c r="Z71" s="117"/>
      <c r="AA71" s="117"/>
      <c r="AB71" s="117"/>
      <c r="AC71" s="117"/>
      <c r="AD71" s="117"/>
      <c r="AE71" s="117"/>
      <c r="AF71" s="117"/>
      <c r="AG71" s="118"/>
      <c r="AH71" s="38"/>
    </row>
    <row r="72" spans="2:57" ht="16.5" customHeight="1" x14ac:dyDescent="0.25">
      <c r="B72" s="16"/>
      <c r="C72" s="16"/>
      <c r="D72" s="1"/>
      <c r="E72" s="1"/>
      <c r="F72" s="1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</row>
    <row r="73" spans="2:57" ht="15" customHeight="1" x14ac:dyDescent="0.25">
      <c r="B73" s="39"/>
      <c r="C73" s="40"/>
      <c r="D73" s="41" t="s">
        <v>48</v>
      </c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1" t="s">
        <v>661</v>
      </c>
      <c r="Q73" s="40"/>
      <c r="R73" s="40"/>
      <c r="S73" s="40"/>
      <c r="T73" s="40"/>
      <c r="U73" s="42"/>
      <c r="V73" s="197">
        <f>SUM(V74:Z85)</f>
        <v>0</v>
      </c>
      <c r="W73" s="97"/>
      <c r="X73" s="97"/>
      <c r="Y73" s="97"/>
      <c r="Z73" s="98"/>
      <c r="AA73" s="43"/>
      <c r="AB73" s="43"/>
      <c r="AC73" s="43"/>
      <c r="AD73" s="180" t="s">
        <v>46</v>
      </c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7"/>
      <c r="BA73" s="98"/>
    </row>
    <row r="74" spans="2:57" ht="12" customHeight="1" x14ac:dyDescent="0.25">
      <c r="B74" s="136">
        <v>1</v>
      </c>
      <c r="C74" s="126"/>
      <c r="D74" s="193" t="str">
        <f>'Bases - Cadastro'!A38</f>
        <v>PR50050001 -  Material uso e consumo PROADI SUS</v>
      </c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1"/>
      <c r="P74" s="188" t="str">
        <f>'Bases - Cadastro'!D38</f>
        <v>263020 Reembolso de Material de Uso e Consumo PROADI SUS</v>
      </c>
      <c r="Q74" s="100"/>
      <c r="R74" s="100"/>
      <c r="S74" s="100"/>
      <c r="T74" s="100"/>
      <c r="U74" s="101"/>
      <c r="V74" s="201">
        <f t="shared" ref="V74:V85" si="0">SUMIF($AR$29:$AT$66,P74,$AU$29:$BA$66)</f>
        <v>0</v>
      </c>
      <c r="W74" s="125"/>
      <c r="X74" s="125"/>
      <c r="Y74" s="125"/>
      <c r="Z74" s="126"/>
      <c r="AA74" s="44"/>
      <c r="AB74" s="44"/>
      <c r="AC74" s="44"/>
      <c r="AD74" s="205"/>
      <c r="AE74" s="130"/>
      <c r="AF74" s="130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6"/>
    </row>
    <row r="75" spans="2:57" ht="12" customHeight="1" x14ac:dyDescent="0.25">
      <c r="B75" s="128">
        <v>2</v>
      </c>
      <c r="C75" s="101"/>
      <c r="D75" s="193" t="str">
        <f>'Bases - Cadastro'!A39</f>
        <v>PR50060002 -  Refeições e Lanches PROADI SUS</v>
      </c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1"/>
      <c r="P75" s="188" t="str">
        <f>'Bases - Cadastro'!D39</f>
        <v>263018 Reembolso de Refeições e Lanches PROADI SUS</v>
      </c>
      <c r="Q75" s="100"/>
      <c r="R75" s="100"/>
      <c r="S75" s="100"/>
      <c r="T75" s="100"/>
      <c r="U75" s="101"/>
      <c r="V75" s="186">
        <f t="shared" si="0"/>
        <v>0</v>
      </c>
      <c r="W75" s="100"/>
      <c r="X75" s="100"/>
      <c r="Y75" s="100"/>
      <c r="Z75" s="101"/>
      <c r="AA75" s="47"/>
      <c r="AB75" s="47"/>
      <c r="AC75" s="47"/>
      <c r="AD75" s="206"/>
      <c r="AE75" s="103"/>
      <c r="AF75" s="103"/>
      <c r="AG75" s="204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3"/>
      <c r="AS75" s="103"/>
      <c r="AT75" s="103"/>
      <c r="AU75" s="103"/>
      <c r="AV75" s="103"/>
      <c r="AW75" s="48"/>
      <c r="AX75" s="48"/>
      <c r="AY75" s="48"/>
      <c r="AZ75" s="48"/>
      <c r="BA75" s="49"/>
    </row>
    <row r="76" spans="2:57" ht="12" customHeight="1" x14ac:dyDescent="0.25">
      <c r="B76" s="128">
        <v>3</v>
      </c>
      <c r="C76" s="101"/>
      <c r="D76" s="193" t="str">
        <f>'Bases - Cadastro'!A40</f>
        <v>PR50060003 -  Condução e Transporte PROADI SUS</v>
      </c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1"/>
      <c r="P76" s="188" t="str">
        <f>'Bases - Cadastro'!D40</f>
        <v>263962 Reembolso de Condução e Transporte PROADI SUS</v>
      </c>
      <c r="Q76" s="100"/>
      <c r="R76" s="100"/>
      <c r="S76" s="100"/>
      <c r="T76" s="100"/>
      <c r="U76" s="101"/>
      <c r="V76" s="186">
        <f t="shared" si="0"/>
        <v>0</v>
      </c>
      <c r="W76" s="100"/>
      <c r="X76" s="100"/>
      <c r="Y76" s="100"/>
      <c r="Z76" s="101"/>
      <c r="AA76" s="47"/>
      <c r="AB76" s="47"/>
      <c r="AC76" s="47"/>
      <c r="AD76" s="206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48"/>
      <c r="AX76" s="48"/>
      <c r="AY76" s="48"/>
      <c r="AZ76" s="48"/>
      <c r="BA76" s="49"/>
    </row>
    <row r="77" spans="2:57" ht="12" customHeight="1" x14ac:dyDescent="0.25">
      <c r="B77" s="128">
        <v>4</v>
      </c>
      <c r="C77" s="101"/>
      <c r="D77" s="193" t="str">
        <f>'Bases - Cadastro'!A41</f>
        <v>PR50060004 -  Passagens Aereas PROADI SUS</v>
      </c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1"/>
      <c r="P77" s="188" t="str">
        <f>'Bases - Cadastro'!D41</f>
        <v>263021 Reembolso de Passagem Aérea PROADI SUS</v>
      </c>
      <c r="Q77" s="100"/>
      <c r="R77" s="100"/>
      <c r="S77" s="100"/>
      <c r="T77" s="100"/>
      <c r="U77" s="101"/>
      <c r="V77" s="186">
        <f t="shared" si="0"/>
        <v>0</v>
      </c>
      <c r="W77" s="100"/>
      <c r="X77" s="100"/>
      <c r="Y77" s="100"/>
      <c r="Z77" s="101"/>
      <c r="AA77" s="47"/>
      <c r="AB77" s="47"/>
      <c r="AC77" s="47"/>
      <c r="AD77" s="50"/>
      <c r="AE77" s="48"/>
      <c r="AF77" s="48"/>
      <c r="AG77" s="207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  <c r="AT77" s="103"/>
      <c r="AU77" s="103"/>
      <c r="AV77" s="103"/>
      <c r="AW77" s="48"/>
      <c r="AX77" s="48"/>
      <c r="AY77" s="48"/>
      <c r="AZ77" s="48"/>
      <c r="BA77" s="49"/>
    </row>
    <row r="78" spans="2:57" ht="12" customHeight="1" x14ac:dyDescent="0.25">
      <c r="B78" s="128">
        <v>5</v>
      </c>
      <c r="C78" s="101"/>
      <c r="D78" s="193" t="str">
        <f>'Bases - Cadastro'!A42</f>
        <v>PR50060005 -  Hospedagem PROADI SUS</v>
      </c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1"/>
      <c r="P78" s="188" t="str">
        <f>'Bases - Cadastro'!D42</f>
        <v>263022 Reembolso de Hospedagem PROADI SUS</v>
      </c>
      <c r="Q78" s="100"/>
      <c r="R78" s="100"/>
      <c r="S78" s="100"/>
      <c r="T78" s="100"/>
      <c r="U78" s="101"/>
      <c r="V78" s="186">
        <f t="shared" si="0"/>
        <v>0</v>
      </c>
      <c r="W78" s="100"/>
      <c r="X78" s="100"/>
      <c r="Y78" s="100"/>
      <c r="Z78" s="101"/>
      <c r="AA78" s="47"/>
      <c r="AB78" s="47"/>
      <c r="AC78" s="47"/>
      <c r="AD78" s="50"/>
      <c r="AE78" s="48"/>
      <c r="AF78" s="48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48"/>
      <c r="AX78" s="48"/>
      <c r="AY78" s="48"/>
      <c r="AZ78" s="48"/>
      <c r="BA78" s="49"/>
    </row>
    <row r="79" spans="2:57" ht="12" customHeight="1" x14ac:dyDescent="0.25">
      <c r="B79" s="128">
        <v>6</v>
      </c>
      <c r="C79" s="101"/>
      <c r="D79" s="193" t="str">
        <f>'Bases - Cadastro'!A43</f>
        <v>PR50060006 -  Taxas de Viagens, Eventos e Congressos PROADI SUS</v>
      </c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1"/>
      <c r="P79" s="188" t="str">
        <f>'Bases - Cadastro'!D43</f>
        <v>263023 Reembolso de Inscrições de Eventos PROADI SUS</v>
      </c>
      <c r="Q79" s="100"/>
      <c r="R79" s="100"/>
      <c r="S79" s="100"/>
      <c r="T79" s="100"/>
      <c r="U79" s="101"/>
      <c r="V79" s="186">
        <f t="shared" si="0"/>
        <v>0</v>
      </c>
      <c r="W79" s="100"/>
      <c r="X79" s="100"/>
      <c r="Y79" s="100"/>
      <c r="Z79" s="101"/>
      <c r="AA79" s="47"/>
      <c r="AB79" s="47"/>
      <c r="AC79" s="47"/>
      <c r="AD79" s="50"/>
      <c r="AE79" s="48"/>
      <c r="AF79" s="48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48"/>
      <c r="AX79" s="48"/>
      <c r="AY79" s="48"/>
      <c r="AZ79" s="48"/>
      <c r="BA79" s="49"/>
    </row>
    <row r="80" spans="2:57" ht="12" customHeight="1" x14ac:dyDescent="0.25">
      <c r="B80" s="128">
        <v>7</v>
      </c>
      <c r="C80" s="101"/>
      <c r="D80" s="193" t="str">
        <f>'Bases - Cadastro'!A44</f>
        <v>PR50090003 -  Custas de cartório PROADI SUS</v>
      </c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1"/>
      <c r="P80" s="188" t="str">
        <f>'Bases - Cadastro'!D44</f>
        <v>263017 Reembolso de Cartório PROADI SUS</v>
      </c>
      <c r="Q80" s="100"/>
      <c r="R80" s="100"/>
      <c r="S80" s="100"/>
      <c r="T80" s="100"/>
      <c r="U80" s="101"/>
      <c r="V80" s="186">
        <f t="shared" si="0"/>
        <v>0</v>
      </c>
      <c r="W80" s="100"/>
      <c r="X80" s="100"/>
      <c r="Y80" s="100"/>
      <c r="Z80" s="101"/>
      <c r="AA80" s="47"/>
      <c r="AB80" s="47"/>
      <c r="AC80" s="47"/>
      <c r="AD80" s="50"/>
      <c r="AE80" s="48"/>
      <c r="AF80" s="48"/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3"/>
      <c r="AW80" s="48"/>
      <c r="AX80" s="48"/>
      <c r="AY80" s="48"/>
      <c r="AZ80" s="48"/>
      <c r="BA80" s="49"/>
    </row>
    <row r="81" spans="2:53" ht="12" customHeight="1" x14ac:dyDescent="0.25">
      <c r="B81" s="128">
        <v>8</v>
      </c>
      <c r="C81" s="101"/>
      <c r="D81" s="193" t="str">
        <f>'Bases - Cadastro'!A45</f>
        <v>PR50090005 -  Correios e Malotes PROADI SUS</v>
      </c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1"/>
      <c r="P81" s="188" t="str">
        <f>'Bases - Cadastro'!D45</f>
        <v>263016 Reembolso de Correios PROADI SUS</v>
      </c>
      <c r="Q81" s="100"/>
      <c r="R81" s="100"/>
      <c r="S81" s="100"/>
      <c r="T81" s="100"/>
      <c r="U81" s="101"/>
      <c r="V81" s="186">
        <f t="shared" si="0"/>
        <v>0</v>
      </c>
      <c r="W81" s="100"/>
      <c r="X81" s="100"/>
      <c r="Y81" s="100"/>
      <c r="Z81" s="101"/>
      <c r="AA81" s="47"/>
      <c r="AB81" s="47"/>
      <c r="AC81" s="47"/>
      <c r="AD81" s="50"/>
      <c r="AE81" s="48"/>
      <c r="AF81" s="48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48"/>
      <c r="AX81" s="48"/>
      <c r="AY81" s="48"/>
      <c r="AZ81" s="48"/>
      <c r="BA81" s="49"/>
    </row>
    <row r="82" spans="2:53" ht="12" customHeight="1" x14ac:dyDescent="0.25">
      <c r="B82" s="128">
        <v>9</v>
      </c>
      <c r="C82" s="101"/>
      <c r="D82" s="193" t="str">
        <f>'Bases - Cadastro'!A46</f>
        <v>PR50090011 -  Revelações, Cópias, Impressões e Gráfica PROADI SUS</v>
      </c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1"/>
      <c r="P82" s="188" t="str">
        <f>'Bases - Cadastro'!D46</f>
        <v>263019 Reembolso de Revelações, Cópias e Gráfica PROADI SUS</v>
      </c>
      <c r="Q82" s="100"/>
      <c r="R82" s="100"/>
      <c r="S82" s="100"/>
      <c r="T82" s="100"/>
      <c r="U82" s="101"/>
      <c r="V82" s="186">
        <f t="shared" si="0"/>
        <v>0</v>
      </c>
      <c r="W82" s="100"/>
      <c r="X82" s="100"/>
      <c r="Y82" s="100"/>
      <c r="Z82" s="101"/>
      <c r="AA82" s="47"/>
      <c r="AB82" s="47"/>
      <c r="AC82" s="47"/>
      <c r="AD82" s="50"/>
      <c r="AE82" s="48"/>
      <c r="AF82" s="48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  <c r="AR82" s="103"/>
      <c r="AS82" s="103"/>
      <c r="AT82" s="103"/>
      <c r="AU82" s="103"/>
      <c r="AV82" s="103"/>
      <c r="AW82" s="48"/>
      <c r="AX82" s="48"/>
      <c r="AY82" s="48"/>
      <c r="AZ82" s="48"/>
      <c r="BA82" s="49"/>
    </row>
    <row r="83" spans="2:53" ht="12" customHeight="1" x14ac:dyDescent="0.25">
      <c r="B83" s="128">
        <v>10</v>
      </c>
      <c r="C83" s="101"/>
      <c r="D83" s="193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1"/>
      <c r="P83" s="188"/>
      <c r="Q83" s="100"/>
      <c r="R83" s="100"/>
      <c r="S83" s="100"/>
      <c r="T83" s="100"/>
      <c r="U83" s="101"/>
      <c r="V83" s="186">
        <f t="shared" si="0"/>
        <v>0</v>
      </c>
      <c r="W83" s="100"/>
      <c r="X83" s="100"/>
      <c r="Y83" s="100"/>
      <c r="Z83" s="101"/>
      <c r="AA83" s="47"/>
      <c r="AB83" s="47"/>
      <c r="AC83" s="47"/>
      <c r="AD83" s="50"/>
      <c r="AE83" s="48"/>
      <c r="AF83" s="48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  <c r="AR83" s="103"/>
      <c r="AS83" s="103"/>
      <c r="AT83" s="103"/>
      <c r="AU83" s="103"/>
      <c r="AV83" s="103"/>
      <c r="AW83" s="48"/>
      <c r="AX83" s="48"/>
      <c r="AY83" s="48"/>
      <c r="AZ83" s="48"/>
      <c r="BA83" s="49"/>
    </row>
    <row r="84" spans="2:53" ht="12" customHeight="1" x14ac:dyDescent="0.25">
      <c r="B84" s="128">
        <v>11</v>
      </c>
      <c r="C84" s="101"/>
      <c r="D84" s="193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1"/>
      <c r="P84" s="188"/>
      <c r="Q84" s="100"/>
      <c r="R84" s="100"/>
      <c r="S84" s="100"/>
      <c r="T84" s="100"/>
      <c r="U84" s="101"/>
      <c r="V84" s="186">
        <f t="shared" si="0"/>
        <v>0</v>
      </c>
      <c r="W84" s="100"/>
      <c r="X84" s="100"/>
      <c r="Y84" s="100"/>
      <c r="Z84" s="101"/>
      <c r="AA84" s="47"/>
      <c r="AB84" s="47"/>
      <c r="AC84" s="47"/>
      <c r="AD84" s="50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9"/>
    </row>
    <row r="85" spans="2:53" ht="12" customHeight="1" x14ac:dyDescent="0.25">
      <c r="B85" s="128">
        <v>12</v>
      </c>
      <c r="C85" s="101"/>
      <c r="D85" s="193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1"/>
      <c r="P85" s="188"/>
      <c r="Q85" s="100"/>
      <c r="R85" s="100"/>
      <c r="S85" s="100"/>
      <c r="T85" s="100"/>
      <c r="U85" s="101"/>
      <c r="V85" s="186">
        <f t="shared" si="0"/>
        <v>0</v>
      </c>
      <c r="W85" s="100"/>
      <c r="X85" s="100"/>
      <c r="Y85" s="100"/>
      <c r="Z85" s="101"/>
      <c r="AA85" s="47"/>
      <c r="AB85" s="47"/>
      <c r="AC85" s="47"/>
      <c r="AD85" s="51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3"/>
    </row>
  </sheetData>
  <mergeCells count="458">
    <mergeCell ref="V85:Z85"/>
    <mergeCell ref="B66:F66"/>
    <mergeCell ref="V82:Z82"/>
    <mergeCell ref="D78:O78"/>
    <mergeCell ref="U62:Z62"/>
    <mergeCell ref="Q22:Y22"/>
    <mergeCell ref="B15:AX15"/>
    <mergeCell ref="G57:K57"/>
    <mergeCell ref="B61:F61"/>
    <mergeCell ref="L45:P45"/>
    <mergeCell ref="G49:K49"/>
    <mergeCell ref="U64:Z64"/>
    <mergeCell ref="AU38:BA38"/>
    <mergeCell ref="Q33:T33"/>
    <mergeCell ref="U51:Z51"/>
    <mergeCell ref="Q27:T28"/>
    <mergeCell ref="AR32:AT32"/>
    <mergeCell ref="L38:P38"/>
    <mergeCell ref="AA63:AN63"/>
    <mergeCell ref="AU40:BA40"/>
    <mergeCell ref="AN21:BA21"/>
    <mergeCell ref="AA22:AL22"/>
    <mergeCell ref="L40:P40"/>
    <mergeCell ref="B64:F64"/>
    <mergeCell ref="AU63:BA63"/>
    <mergeCell ref="P79:U79"/>
    <mergeCell ref="G29:K29"/>
    <mergeCell ref="B21:AL21"/>
    <mergeCell ref="AA50:AN50"/>
    <mergeCell ref="G44:K44"/>
    <mergeCell ref="AR52:AT52"/>
    <mergeCell ref="G31:K31"/>
    <mergeCell ref="H11:T11"/>
    <mergeCell ref="B75:C75"/>
    <mergeCell ref="W70:AG70"/>
    <mergeCell ref="AN23:BA23"/>
    <mergeCell ref="AR27:AT27"/>
    <mergeCell ref="B51:F51"/>
    <mergeCell ref="AO28:AQ28"/>
    <mergeCell ref="AU37:BA37"/>
    <mergeCell ref="U41:Z41"/>
    <mergeCell ref="B59:F59"/>
    <mergeCell ref="B46:F46"/>
    <mergeCell ref="AU47:BA47"/>
    <mergeCell ref="L37:P37"/>
    <mergeCell ref="U56:Z56"/>
    <mergeCell ref="AR49:AT49"/>
    <mergeCell ref="U43:Z43"/>
    <mergeCell ref="AO58:AQ58"/>
    <mergeCell ref="B48:F48"/>
    <mergeCell ref="AN9:AZ9"/>
    <mergeCell ref="Q62:T62"/>
    <mergeCell ref="B44:F44"/>
    <mergeCell ref="U55:Z55"/>
    <mergeCell ref="AU29:BA29"/>
    <mergeCell ref="U38:Z38"/>
    <mergeCell ref="B4:AX4"/>
    <mergeCell ref="G33:K33"/>
    <mergeCell ref="Q64:T64"/>
    <mergeCell ref="B37:F37"/>
    <mergeCell ref="AU44:BA44"/>
    <mergeCell ref="AA54:AN54"/>
    <mergeCell ref="AU31:BA31"/>
    <mergeCell ref="Q51:T51"/>
    <mergeCell ref="U40:Z40"/>
    <mergeCell ref="AA41:AN41"/>
    <mergeCell ref="G35:K35"/>
    <mergeCell ref="AA56:AN56"/>
    <mergeCell ref="AO57:AQ57"/>
    <mergeCell ref="AR34:AT34"/>
    <mergeCell ref="AA34:AN34"/>
    <mergeCell ref="AU42:BA42"/>
    <mergeCell ref="AR36:AT36"/>
    <mergeCell ref="AA36:AN36"/>
    <mergeCell ref="D81:O81"/>
    <mergeCell ref="B32:F32"/>
    <mergeCell ref="AB17:AE17"/>
    <mergeCell ref="D76:O76"/>
    <mergeCell ref="AR66:AT66"/>
    <mergeCell ref="AR63:AT63"/>
    <mergeCell ref="V76:Z76"/>
    <mergeCell ref="AO29:AQ29"/>
    <mergeCell ref="L43:P43"/>
    <mergeCell ref="AA30:AN30"/>
    <mergeCell ref="G38:K38"/>
    <mergeCell ref="B42:F42"/>
    <mergeCell ref="C69:R69"/>
    <mergeCell ref="V77:Z77"/>
    <mergeCell ref="AO31:AQ31"/>
    <mergeCell ref="AD75:AF75"/>
    <mergeCell ref="C71:G71"/>
    <mergeCell ref="U66:Z66"/>
    <mergeCell ref="G30:K30"/>
    <mergeCell ref="Q39:T39"/>
    <mergeCell ref="AA65:AN65"/>
    <mergeCell ref="AA31:AN31"/>
    <mergeCell ref="U59:Z59"/>
    <mergeCell ref="AO32:AQ32"/>
    <mergeCell ref="B1:BA2"/>
    <mergeCell ref="AA35:AN35"/>
    <mergeCell ref="B83:C83"/>
    <mergeCell ref="O9:T9"/>
    <mergeCell ref="B85:C85"/>
    <mergeCell ref="D84:O84"/>
    <mergeCell ref="AD73:BA73"/>
    <mergeCell ref="B36:F36"/>
    <mergeCell ref="Q59:T59"/>
    <mergeCell ref="AO65:AQ65"/>
    <mergeCell ref="Q46:T46"/>
    <mergeCell ref="Q61:T61"/>
    <mergeCell ref="Q48:T48"/>
    <mergeCell ref="AA38:AN38"/>
    <mergeCell ref="U37:Z37"/>
    <mergeCell ref="L66:P66"/>
    <mergeCell ref="L53:P53"/>
    <mergeCell ref="AU46:BA46"/>
    <mergeCell ref="Q41:T41"/>
    <mergeCell ref="B19:G19"/>
    <mergeCell ref="AR53:AT53"/>
    <mergeCell ref="AA40:AN40"/>
    <mergeCell ref="AO54:AQ54"/>
    <mergeCell ref="AU61:BA61"/>
    <mergeCell ref="B5:F5"/>
    <mergeCell ref="AR39:AT39"/>
    <mergeCell ref="AU55:BA55"/>
    <mergeCell ref="D80:O80"/>
    <mergeCell ref="AG77:AV83"/>
    <mergeCell ref="AO33:AQ33"/>
    <mergeCell ref="AA43:AN43"/>
    <mergeCell ref="AO35:AQ35"/>
    <mergeCell ref="AR65:AT65"/>
    <mergeCell ref="B23:O23"/>
    <mergeCell ref="B82:C82"/>
    <mergeCell ref="L55:P55"/>
    <mergeCell ref="AU48:BA48"/>
    <mergeCell ref="AR50:AT50"/>
    <mergeCell ref="G58:K58"/>
    <mergeCell ref="AR60:AT60"/>
    <mergeCell ref="Q56:T56"/>
    <mergeCell ref="AO41:AQ41"/>
    <mergeCell ref="Q43:T43"/>
    <mergeCell ref="AA33:AN33"/>
    <mergeCell ref="AR55:AT55"/>
    <mergeCell ref="AO56:AQ56"/>
    <mergeCell ref="AO34:AQ34"/>
    <mergeCell ref="AA57:AN57"/>
    <mergeCell ref="P83:U83"/>
    <mergeCell ref="AR31:AT31"/>
    <mergeCell ref="AA27:AN28"/>
    <mergeCell ref="Q63:T63"/>
    <mergeCell ref="P85:U85"/>
    <mergeCell ref="Q50:T50"/>
    <mergeCell ref="AR62:AT62"/>
    <mergeCell ref="P84:U84"/>
    <mergeCell ref="H71:R71"/>
    <mergeCell ref="P80:U80"/>
    <mergeCell ref="AR57:AT57"/>
    <mergeCell ref="L32:P32"/>
    <mergeCell ref="G36:K36"/>
    <mergeCell ref="L47:P47"/>
    <mergeCell ref="Q37:T37"/>
    <mergeCell ref="D83:O83"/>
    <mergeCell ref="AO64:AQ64"/>
    <mergeCell ref="AO51:AQ51"/>
    <mergeCell ref="L63:P63"/>
    <mergeCell ref="D85:O85"/>
    <mergeCell ref="Q55:T55"/>
    <mergeCell ref="L50:P50"/>
    <mergeCell ref="Q38:T38"/>
    <mergeCell ref="G64:K64"/>
    <mergeCell ref="P82:U82"/>
    <mergeCell ref="AR30:AT30"/>
    <mergeCell ref="P75:U75"/>
    <mergeCell ref="U58:Z58"/>
    <mergeCell ref="V84:Z84"/>
    <mergeCell ref="L30:P30"/>
    <mergeCell ref="H70:R70"/>
    <mergeCell ref="AR54:AT54"/>
    <mergeCell ref="L29:P29"/>
    <mergeCell ref="AR41:AT41"/>
    <mergeCell ref="L44:P44"/>
    <mergeCell ref="AR56:AT56"/>
    <mergeCell ref="L31:P31"/>
    <mergeCell ref="AR43:AT43"/>
    <mergeCell ref="Q44:T44"/>
    <mergeCell ref="AA47:AN47"/>
    <mergeCell ref="G59:K59"/>
    <mergeCell ref="U53:Z53"/>
    <mergeCell ref="L57:P57"/>
    <mergeCell ref="G61:K61"/>
    <mergeCell ref="D75:O75"/>
    <mergeCell ref="V79:Z79"/>
    <mergeCell ref="B58:F58"/>
    <mergeCell ref="B52:F52"/>
    <mergeCell ref="B3:AX3"/>
    <mergeCell ref="L41:P41"/>
    <mergeCell ref="G45:K45"/>
    <mergeCell ref="AU34:BA34"/>
    <mergeCell ref="U60:Z60"/>
    <mergeCell ref="AA66:AN66"/>
    <mergeCell ref="B65:F65"/>
    <mergeCell ref="W71:AG71"/>
    <mergeCell ref="L56:P56"/>
    <mergeCell ref="AU49:BA49"/>
    <mergeCell ref="G47:K47"/>
    <mergeCell ref="AU36:BA36"/>
    <mergeCell ref="U45:Z45"/>
    <mergeCell ref="B63:F63"/>
    <mergeCell ref="G46:K46"/>
    <mergeCell ref="B50:F50"/>
    <mergeCell ref="G40:K40"/>
    <mergeCell ref="AA61:AN61"/>
    <mergeCell ref="AA32:AN32"/>
    <mergeCell ref="AO62:AQ62"/>
    <mergeCell ref="AR28:AT28"/>
    <mergeCell ref="B55:F55"/>
    <mergeCell ref="B7:F7"/>
    <mergeCell ref="AU57:BA57"/>
    <mergeCell ref="AJ5:AM5"/>
    <mergeCell ref="B62:F62"/>
    <mergeCell ref="U32:Z32"/>
    <mergeCell ref="B31:F31"/>
    <mergeCell ref="U47:Z47"/>
    <mergeCell ref="AR40:AT40"/>
    <mergeCell ref="B39:F39"/>
    <mergeCell ref="V81:Z81"/>
    <mergeCell ref="AR33:AT33"/>
    <mergeCell ref="AR35:AT35"/>
    <mergeCell ref="L54:P54"/>
    <mergeCell ref="V73:Z73"/>
    <mergeCell ref="P77:U77"/>
    <mergeCell ref="B74:C74"/>
    <mergeCell ref="G48:K48"/>
    <mergeCell ref="B60:F60"/>
    <mergeCell ref="L42:P42"/>
    <mergeCell ref="G62:K62"/>
    <mergeCell ref="AR29:AT29"/>
    <mergeCell ref="B53:F53"/>
    <mergeCell ref="V74:Z74"/>
    <mergeCell ref="AR44:AT44"/>
    <mergeCell ref="B24:BA24"/>
    <mergeCell ref="AU58:BA58"/>
    <mergeCell ref="AG9:AM9"/>
    <mergeCell ref="P74:U74"/>
    <mergeCell ref="AO61:AQ61"/>
    <mergeCell ref="B25:BA25"/>
    <mergeCell ref="AA59:AN59"/>
    <mergeCell ref="C70:G70"/>
    <mergeCell ref="AU30:BA30"/>
    <mergeCell ref="AA46:AN46"/>
    <mergeCell ref="AU59:BA59"/>
    <mergeCell ref="AA64:AN64"/>
    <mergeCell ref="G32:K32"/>
    <mergeCell ref="AA51:AN51"/>
    <mergeCell ref="AU35:BA35"/>
    <mergeCell ref="AU50:BA50"/>
    <mergeCell ref="AU52:BA52"/>
    <mergeCell ref="AU39:BA39"/>
    <mergeCell ref="AU32:BA32"/>
    <mergeCell ref="B26:BA26"/>
    <mergeCell ref="AU60:BA60"/>
    <mergeCell ref="AA23:AL23"/>
    <mergeCell ref="G51:K51"/>
    <mergeCell ref="L52:P52"/>
    <mergeCell ref="AU45:BA45"/>
    <mergeCell ref="Q40:T40"/>
    <mergeCell ref="AU33:BA33"/>
    <mergeCell ref="Q53:T53"/>
    <mergeCell ref="U42:Z42"/>
    <mergeCell ref="AD76:AF76"/>
    <mergeCell ref="AU27:BA28"/>
    <mergeCell ref="G37:K37"/>
    <mergeCell ref="U52:Z52"/>
    <mergeCell ref="L27:P28"/>
    <mergeCell ref="B57:F57"/>
    <mergeCell ref="AA45:AN45"/>
    <mergeCell ref="AO59:AQ59"/>
    <mergeCell ref="AO46:AQ46"/>
    <mergeCell ref="P76:U76"/>
    <mergeCell ref="B29:F29"/>
    <mergeCell ref="G27:K28"/>
    <mergeCell ref="AO49:AQ49"/>
    <mergeCell ref="U63:Z63"/>
    <mergeCell ref="AO36:AQ36"/>
    <mergeCell ref="U50:Z50"/>
    <mergeCell ref="U44:Z44"/>
    <mergeCell ref="AO60:AQ60"/>
    <mergeCell ref="B49:F49"/>
    <mergeCell ref="U46:Z46"/>
    <mergeCell ref="G54:K54"/>
    <mergeCell ref="V75:Z75"/>
    <mergeCell ref="AO48:AQ48"/>
    <mergeCell ref="AO66:AQ66"/>
    <mergeCell ref="V80:Z80"/>
    <mergeCell ref="B54:F54"/>
    <mergeCell ref="AO43:AQ43"/>
    <mergeCell ref="G42:K42"/>
    <mergeCell ref="U57:Z57"/>
    <mergeCell ref="AD74:AF74"/>
    <mergeCell ref="B56:F56"/>
    <mergeCell ref="B43:F43"/>
    <mergeCell ref="B67:AT67"/>
    <mergeCell ref="Q66:T66"/>
    <mergeCell ref="U70:V70"/>
    <mergeCell ref="B45:F45"/>
    <mergeCell ref="AO47:AQ47"/>
    <mergeCell ref="AA62:AN62"/>
    <mergeCell ref="U61:Z61"/>
    <mergeCell ref="U48:Z48"/>
    <mergeCell ref="G56:K56"/>
    <mergeCell ref="Q65:T65"/>
    <mergeCell ref="G43:K43"/>
    <mergeCell ref="B47:F47"/>
    <mergeCell ref="P78:U78"/>
    <mergeCell ref="AA5:AH5"/>
    <mergeCell ref="AA60:AN60"/>
    <mergeCell ref="AR64:AT64"/>
    <mergeCell ref="L39:P39"/>
    <mergeCell ref="AR51:AT51"/>
    <mergeCell ref="AN22:BA22"/>
    <mergeCell ref="AO55:AQ55"/>
    <mergeCell ref="B38:F38"/>
    <mergeCell ref="G34:K34"/>
    <mergeCell ref="AO40:AQ40"/>
    <mergeCell ref="AA53:AN53"/>
    <mergeCell ref="AO27:AQ27"/>
    <mergeCell ref="U35:Z35"/>
    <mergeCell ref="Q58:T58"/>
    <mergeCell ref="B40:F40"/>
    <mergeCell ref="U34:Z34"/>
    <mergeCell ref="B33:F33"/>
    <mergeCell ref="Q60:T60"/>
    <mergeCell ref="U49:Z49"/>
    <mergeCell ref="U36:Z36"/>
    <mergeCell ref="U30:Z30"/>
    <mergeCell ref="AA42:AN42"/>
    <mergeCell ref="B41:F41"/>
    <mergeCell ref="B35:F35"/>
    <mergeCell ref="AF17:AR17"/>
    <mergeCell ref="Q45:T45"/>
    <mergeCell ref="B22:O22"/>
    <mergeCell ref="Q32:T32"/>
    <mergeCell ref="AA44:AN44"/>
    <mergeCell ref="AA58:AN58"/>
    <mergeCell ref="Q47:T47"/>
    <mergeCell ref="AA37:AN37"/>
    <mergeCell ref="AO63:AQ63"/>
    <mergeCell ref="AO53:AQ53"/>
    <mergeCell ref="AP19:AR19"/>
    <mergeCell ref="I17:R17"/>
    <mergeCell ref="AO45:AQ45"/>
    <mergeCell ref="I19:R19"/>
    <mergeCell ref="AO38:AQ38"/>
    <mergeCell ref="AA48:AN48"/>
    <mergeCell ref="U54:Z54"/>
    <mergeCell ref="U29:Z29"/>
    <mergeCell ref="L58:P58"/>
    <mergeCell ref="B34:F34"/>
    <mergeCell ref="U31:Z31"/>
    <mergeCell ref="L60:P60"/>
    <mergeCell ref="B30:F30"/>
    <mergeCell ref="G41:K41"/>
    <mergeCell ref="G5:Y5"/>
    <mergeCell ref="B81:C81"/>
    <mergeCell ref="AA52:AN52"/>
    <mergeCell ref="U19:X19"/>
    <mergeCell ref="AU62:BA62"/>
    <mergeCell ref="Q57:T57"/>
    <mergeCell ref="U33:Z33"/>
    <mergeCell ref="L62:P62"/>
    <mergeCell ref="G66:K66"/>
    <mergeCell ref="U27:Z28"/>
    <mergeCell ref="G53:K53"/>
    <mergeCell ref="AU64:BA64"/>
    <mergeCell ref="AA49:AN49"/>
    <mergeCell ref="AU51:BA51"/>
    <mergeCell ref="Q42:T42"/>
    <mergeCell ref="AO50:AQ50"/>
    <mergeCell ref="L64:P64"/>
    <mergeCell ref="Q52:T52"/>
    <mergeCell ref="AR38:AT38"/>
    <mergeCell ref="L51:P51"/>
    <mergeCell ref="AO52:AQ52"/>
    <mergeCell ref="B27:F28"/>
    <mergeCell ref="AA19:AF19"/>
    <mergeCell ref="B76:C76"/>
    <mergeCell ref="AU67:BA67"/>
    <mergeCell ref="Q54:T54"/>
    <mergeCell ref="U71:V71"/>
    <mergeCell ref="B84:C84"/>
    <mergeCell ref="Q29:T29"/>
    <mergeCell ref="G55:K55"/>
    <mergeCell ref="AR59:AT59"/>
    <mergeCell ref="L34:P34"/>
    <mergeCell ref="AR46:AT46"/>
    <mergeCell ref="Q31:T31"/>
    <mergeCell ref="B80:C80"/>
    <mergeCell ref="L49:P49"/>
    <mergeCell ref="AR61:AT61"/>
    <mergeCell ref="L36:P36"/>
    <mergeCell ref="B79:C79"/>
    <mergeCell ref="AR48:AT48"/>
    <mergeCell ref="AO37:AQ37"/>
    <mergeCell ref="D82:O82"/>
    <mergeCell ref="AA55:AN55"/>
    <mergeCell ref="D77:O77"/>
    <mergeCell ref="AA29:AN29"/>
    <mergeCell ref="AU65:BA65"/>
    <mergeCell ref="L65:P65"/>
    <mergeCell ref="B77:C77"/>
    <mergeCell ref="V83:Z83"/>
    <mergeCell ref="B78:C78"/>
    <mergeCell ref="AR47:AT47"/>
    <mergeCell ref="AN5:AZ5"/>
    <mergeCell ref="AG75:AV76"/>
    <mergeCell ref="G65:K65"/>
    <mergeCell ref="AR42:AT42"/>
    <mergeCell ref="D79:O79"/>
    <mergeCell ref="Q35:T35"/>
    <mergeCell ref="L59:P59"/>
    <mergeCell ref="G63:K63"/>
    <mergeCell ref="L46:P46"/>
    <mergeCell ref="G50:K50"/>
    <mergeCell ref="U65:Z65"/>
    <mergeCell ref="Q34:T34"/>
    <mergeCell ref="AR58:AT58"/>
    <mergeCell ref="G60:K60"/>
    <mergeCell ref="AR37:AT37"/>
    <mergeCell ref="L61:P61"/>
    <mergeCell ref="AU54:BA54"/>
    <mergeCell ref="Q49:T49"/>
    <mergeCell ref="L48:P48"/>
    <mergeCell ref="G52:K52"/>
    <mergeCell ref="AU41:BA41"/>
    <mergeCell ref="P81:U81"/>
    <mergeCell ref="AU66:BA66"/>
    <mergeCell ref="C18:AT18"/>
    <mergeCell ref="AU53:BA53"/>
    <mergeCell ref="G39:K39"/>
    <mergeCell ref="L33:P33"/>
    <mergeCell ref="AR45:AT45"/>
    <mergeCell ref="U39:Z39"/>
    <mergeCell ref="G7:AL7"/>
    <mergeCell ref="L35:P35"/>
    <mergeCell ref="Q23:Y23"/>
    <mergeCell ref="Q36:T36"/>
    <mergeCell ref="Q30:T30"/>
    <mergeCell ref="AO39:AQ39"/>
    <mergeCell ref="AU56:BA56"/>
    <mergeCell ref="AU43:BA43"/>
    <mergeCell ref="AO30:AQ30"/>
    <mergeCell ref="AO42:AQ42"/>
    <mergeCell ref="V78:Z78"/>
    <mergeCell ref="G9:M9"/>
    <mergeCell ref="AA39:AN39"/>
    <mergeCell ref="U69:AG69"/>
    <mergeCell ref="AO44:AQ44"/>
    <mergeCell ref="D74:O74"/>
  </mergeCells>
  <printOptions horizontalCentered="1"/>
  <pageMargins left="0.25" right="0.25" top="0.75" bottom="0.75" header="0.3" footer="0.3"/>
  <pageSetup paperSize="9" scale="52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D533F0B672C54C8217520DED7B08CE" ma:contentTypeVersion="12" ma:contentTypeDescription="Crie um novo documento." ma:contentTypeScope="" ma:versionID="8e9e94bd257010feb2d5bc48e2d19cd8">
  <xsd:schema xmlns:xsd="http://www.w3.org/2001/XMLSchema" xmlns:xs="http://www.w3.org/2001/XMLSchema" xmlns:p="http://schemas.microsoft.com/office/2006/metadata/properties" xmlns:ns2="03241c6c-6ef0-4b0a-a59c-95d2c32f4b4e" xmlns:ns3="353c4c0c-1418-4ecd-9549-2113153187e8" targetNamespace="http://schemas.microsoft.com/office/2006/metadata/properties" ma:root="true" ma:fieldsID="f7fa2816085a9785d8084417c2b9b786" ns2:_="" ns3:_="">
    <xsd:import namespace="03241c6c-6ef0-4b0a-a59c-95d2c32f4b4e"/>
    <xsd:import namespace="353c4c0c-1418-4ecd-9549-2113153187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41c6c-6ef0-4b0a-a59c-95d2c32f4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5976cb3-84f8-482a-b636-9e2631ed43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c4c0c-1418-4ecd-9549-2113153187e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41f802-68c8-4c11-9856-129fa40f0186}" ma:internalName="TaxCatchAll" ma:showField="CatchAllData" ma:web="353c4c0c-1418-4ecd-9549-2113153187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241c6c-6ef0-4b0a-a59c-95d2c32f4b4e">
      <Terms xmlns="http://schemas.microsoft.com/office/infopath/2007/PartnerControls"/>
    </lcf76f155ced4ddcb4097134ff3c332f>
    <TaxCatchAll xmlns="353c4c0c-1418-4ecd-9549-2113153187e8" xsi:nil="true"/>
  </documentManagement>
</p:properties>
</file>

<file path=customXml/itemProps1.xml><?xml version="1.0" encoding="utf-8"?>
<ds:datastoreItem xmlns:ds="http://schemas.openxmlformats.org/officeDocument/2006/customXml" ds:itemID="{CFB216B0-1699-4A50-B430-4FD966A1D66A}"/>
</file>

<file path=customXml/itemProps2.xml><?xml version="1.0" encoding="utf-8"?>
<ds:datastoreItem xmlns:ds="http://schemas.openxmlformats.org/officeDocument/2006/customXml" ds:itemID="{007E6719-E65A-42F8-9F14-67CDBAFC583A}"/>
</file>

<file path=customXml/itemProps3.xml><?xml version="1.0" encoding="utf-8"?>
<ds:datastoreItem xmlns:ds="http://schemas.openxmlformats.org/officeDocument/2006/customXml" ds:itemID="{C8B87630-C04C-4381-BF0F-C5A3E89846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12</vt:i4>
      </vt:variant>
    </vt:vector>
  </HeadingPairs>
  <TitlesOfParts>
    <vt:vector size="20" baseType="lpstr">
      <vt:lpstr>Premissas</vt:lpstr>
      <vt:lpstr>Bases - Cadastro</vt:lpstr>
      <vt:lpstr>MATRIZ - Relat Desp_CLT</vt:lpstr>
      <vt:lpstr>MATRIZ - Relat Despesas</vt:lpstr>
      <vt:lpstr>210814 - Regionalização</vt:lpstr>
      <vt:lpstr>210815 - Regula Mais</vt:lpstr>
      <vt:lpstr>210816 - Saude</vt:lpstr>
      <vt:lpstr>210818 - Rede</vt:lpstr>
      <vt:lpstr>'210814 - Regionalização'!Area_de_impressao</vt:lpstr>
      <vt:lpstr>'210815 - Regula Mais'!Area_de_impressao</vt:lpstr>
      <vt:lpstr>'210816 - Saude'!Area_de_impressao</vt:lpstr>
      <vt:lpstr>'210818 - Rede'!Area_de_impressao</vt:lpstr>
      <vt:lpstr>'MATRIZ - Relat Desp_CLT'!Area_de_impressao</vt:lpstr>
      <vt:lpstr>'MATRIZ - Relat Despesas'!Area_de_impressao</vt:lpstr>
      <vt:lpstr>'210814 - Regionalização'!Projeto</vt:lpstr>
      <vt:lpstr>'210815 - Regula Mais'!Projeto</vt:lpstr>
      <vt:lpstr>'210816 - Saude'!Projeto</vt:lpstr>
      <vt:lpstr>'210818 - Rede'!Projeto</vt:lpstr>
      <vt:lpstr>'MATRIZ - Relat Desp_CLT'!Projeto</vt:lpstr>
      <vt:lpstr>'MATRIZ - Relat Despesas'!Projeto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bp558936;sorte</dc:creator>
  <cp:lastModifiedBy>Weslley Luis Silva</cp:lastModifiedBy>
  <cp:lastPrinted>2025-11-24T13:03:47Z</cp:lastPrinted>
  <dcterms:created xsi:type="dcterms:W3CDTF">2017-09-21T15:21:23Z</dcterms:created>
  <dcterms:modified xsi:type="dcterms:W3CDTF">2026-02-11T14:41:01Z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0x010100E5D533F0B672C54C8217520DED7B08CE</vt:lpwstr>
  </property>
  <property fmtid="{D5CDD505-2E9C-101B-9397-08002B2CF9AE}" pid="3" name="MediaServiceImageTags">
    <vt:lpwstr/>
  </property>
</Properties>
</file>